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988179cfb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isezMoi" sheetId="1" r:id="Rc21b093b9efe4834"/>
    <x:sheet xmlns:r="http://schemas.openxmlformats.org/officeDocument/2006/relationships" name="01_Restitution" sheetId="2" r:id="R5b80a45de90a4d9a"/>
    <x:sheet xmlns:r="http://schemas.openxmlformats.org/officeDocument/2006/relationships" name="02_Composants_Obso" sheetId="3" r:id="Rd4dc090e163b4967"/>
    <x:sheet xmlns:r="http://schemas.openxmlformats.org/officeDocument/2006/relationships" name="03_Referentiels" sheetId="4" r:id="R8af62cbea09d4fff"/>
    <x:sheet xmlns:r="http://schemas.openxmlformats.org/officeDocument/2006/relationships" name="04_Synthese" sheetId="5" r:id="R18a65f537ba740e8"/>
    <x:sheet xmlns:r="http://schemas.openxmlformats.org/officeDocument/2006/relationships" name="05_Synthese_Obso" sheetId="6" r:id="R0929771f8c78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dd/mm/yyyy"/>
    <x:numFmt numFmtId="202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i/>
      <x:sz val="11"/>
      <x:color rgb="FF595959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00A6A6"/>
      </x:patternFill>
    </x:fill>
    <x:fill>
      <x:patternFill patternType="solid">
        <x:fgColor rgb="FFED7D31"/>
      </x:patternFill>
    </x:fill>
    <x:fill>
      <x:patternFill patternType="solid">
        <x:fgColor rgb="FFA5A5A5"/>
      </x:patternFill>
    </x:fill>
    <x:fill>
      <x:patternFill patternType="solid">
        <x:fgColor rgb="FFC00000"/>
      </x:patternFill>
    </x:fill>
    <x:fill>
      <x:patternFill patternType="solid">
        <x:fgColor rgb="FF8064A2"/>
      </x:patternFill>
    </x:fill>
    <x:fill>
      <x:patternFill patternType="solid">
        <x:fgColor rgb="FFD9E2F3"/>
      </x:patternFill>
    </x:fill>
    <x:fill>
      <x:patternFill patternType="solid">
        <x:fgColor rgb="FFD9EAF7"/>
      </x:patternFill>
    </x:fill>
    <x:fill>
      <x:patternFill patternType="solid">
        <x:fgColor rgb="FFBF9000"/>
      </x:patternFill>
    </x:fill>
    <x:fill>
      <x:patternFill patternType="solid">
        <x:fgColor rgb="FFFCE4D6"/>
      </x:patternFill>
    </x:fill>
    <x:fill>
      <x:patternFill patternType="solid">
        <x:fgColor rgb="FF5B9BD5"/>
      </x:patternFill>
    </x:fill>
    <x:fill>
      <x:patternFill patternType="solid">
        <x:fgColor rgb="FFBF9000"/>
      </x:patternFill>
    </x:fill>
    <x:fill>
      <x:patternFill patternType="solid">
        <x:fgColor rgb="FFC00000"/>
      </x:patternFill>
    </x:fill>
    <x:fill>
      <x:patternFill patternType="solid">
        <x:fgColor rgb="FF7F7F7F"/>
      </x:patternFill>
    </x:fill>
    <x:fill>
      <x:patternFill patternType="solid">
        <x:fgColor rgb="FF1F4E78"/>
      </x:patternFill>
    </x:fill>
    <x:fill>
      <x:patternFill patternType="solid">
        <x:fgColor rgb="FFD9E2F3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1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horizont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vertical="top"/>
    </x:xf>
    <x:xf numFmtId="0" fontId="0" fillId="11" borderId="1" xfId="0" applyNumberFormat="1" applyFont="1" applyFill="1" applyBorder="1"/>
    <x:xf numFmtId="0" fontId="2" fillId="11" borderId="1" xfId="0" applyNumberFormat="1" applyFont="1" applyFill="1" applyBorder="1"/>
    <x:xf numFmtId="0" fontId="2" fillId="11" borderId="1" xfId="0" applyNumberFormat="1" applyFont="1" applyFill="1" applyBorder="1" applyAlignment="1">
      <x:alignment vertical="top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1" fillId="12" borderId="1" xfId="0" applyNumberFormat="1" applyFont="1" applyFill="1" applyBorder="1"/>
    <x:xf numFmtId="0" fontId="1" fillId="12" borderId="1" xfId="0" applyNumberFormat="1" applyFont="1" applyFill="1" applyBorder="1" applyAlignment="1">
      <x:alignment wrapText="1"/>
    </x:xf>
    <x:xf numFmtId="0" fontId="1" fillId="12" borderId="1" xfId="0" applyNumberFormat="1" applyFont="1" applyFill="1" applyBorder="1" applyAlignment="1">
      <x:alignment horizontal="center" wrapText="1"/>
    </x:xf>
    <x:xf numFmtId="0" fontId="1" fillId="1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/>
    </x:xf>
    <x:xf numFmtId="0" fontId="2" fillId="1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horizontal="center"/>
    </x:xf>
    <x:xf numFmtId="0" fontId="0" fillId="13" borderId="1" xfId="0" applyNumberFormat="1" applyFont="1" applyFill="1" applyBorder="1"/>
    <x:xf numFmtId="0" fontId="2" fillId="13" borderId="1" xfId="0" applyNumberFormat="1" applyFont="1" applyFill="1" applyBorder="1"/>
    <x:xf numFmtId="0" fontId="2" fillId="13" borderId="1" xfId="0" applyNumberFormat="1" applyFont="1" applyFill="1" applyBorder="1" applyAlignment="1">
      <x:alignment horizontal="center"/>
    </x:xf>
    <x:xf numFmtId="0" fontId="2" fillId="1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horizontal="center"/>
    </x:xf>
    <x:xf numFmtId="0" fontId="4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 wrapText="1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color rgb="FF006100"/>
      </x:font>
      <x:fill>
        <x:patternFill>
          <x:bgColor rgb="FFC6E0B4"/>
        </x:patternFill>
      </x:fill>
    </x:dxf>
    <x:dxf>
      <x:font>
        <x:color rgb="FF006100"/>
      </x:font>
      <x:fill>
        <x:patternFill>
          <x:bgColor rgb="FFC6E0B4"/>
        </x:patternFill>
      </x:fill>
    </x:dxf>
    <x:dxf>
      <x:font>
        <x:color rgb="FF006100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E699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808080"/>
      </x:font>
      <x:fill>
        <x:patternFill>
          <x:bgColor rgb="FFF2F2F2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E699"/>
        </x:patternFill>
      </x:fill>
    </x:dxf>
    <x:dxf>
      <x:font>
        <x:color rgb="FF006100"/>
      </x:font>
      <x:fill>
        <x:patternFill>
          <x:bgColor rgb="FFC6E0B4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E699"/>
        </x:patternFill>
      </x:fill>
    </x:dxf>
    <x:dxf>
      <x:font>
        <x:color rgb="FF006100"/>
      </x:font>
      <x:fill>
        <x:patternFill patternType="solid">
          <x:bgColor rgb="FFC6E0B4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E699"/>
        </x:patternFill>
      </x:fill>
    </x:dxf>
    <x:dxf>
      <x:font>
        <x:color rgb="FF006100"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14c3977534a75" /><Relationship Type="http://schemas.openxmlformats.org/officeDocument/2006/relationships/theme" Target="/xl/theme/theme1.xml" Id="R0642345ec4ac4199" /><Relationship Type="http://schemas.openxmlformats.org/officeDocument/2006/relationships/sharedStrings" Target="/xl/sharedStrings.xml" Id="R9bf876da413a499c" /><Relationship Type="http://schemas.openxmlformats.org/officeDocument/2006/relationships/worksheet" Target="/xl/worksheets/sheet1.xml" Id="Rc21b093b9efe4834" /><Relationship Type="http://schemas.openxmlformats.org/officeDocument/2006/relationships/worksheet" Target="/xl/worksheets/sheet2.xml" Id="R5b80a45de90a4d9a" /><Relationship Type="http://schemas.openxmlformats.org/officeDocument/2006/relationships/worksheet" Target="/xl/worksheets/sheet3.xml" Id="Rd4dc090e163b4967" /><Relationship Type="http://schemas.openxmlformats.org/officeDocument/2006/relationships/worksheet" Target="/xl/worksheets/sheet4.xml" Id="R8af62cbea09d4fff" /><Relationship Type="http://schemas.openxmlformats.org/officeDocument/2006/relationships/worksheet" Target="/xl/worksheets/sheet5.xml" Id="R18a65f537ba740e8" /><Relationship Type="http://schemas.openxmlformats.org/officeDocument/2006/relationships/worksheet" Target="/xl/worksheets/sheet6.xml" Id="R0929771f8c7846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88" t="str">
        <x:v>Restitution de maturité des pratiques — V7</x:v>
      </x:c>
      <x:c r="B1" s="88"/>
      <x:c r="C1" s="88"/>
      <x:c r="D1" s="88"/>
      <x:c r="E1" s="88"/>
      <x:c r="F1" s="88"/>
      <x:c r="G1" s="88"/>
      <x:c r="H1" s="88"/>
    </x:row>
    <x:row r="3">
      <x:c r="A3" s="94" t="str">
        <x:v>Principe restitution</x:v>
      </x:c>
      <x:c r="B3" s="82" t="str">
        <x:v>Une ligne = une application. Les pratiques sont évaluées séparément afin de mesurer la maturité par domaine.</x:v>
      </x:c>
    </x:row>
    <x:row r="4">
      <x:c r="A4" s="94" t="str">
        <x:v>Obsolescence</x:v>
      </x:c>
      <x:c r="B4" s="82" t="str">
        <x:v>L'obsolescence est suivie au niveau Application → Composant / Technologie → Version. Chaque application peut donc avoir plusieurs lignes dans 02_Composants_Obso. Une vue transverse par technologie/version est disponible dans 05_Synthese_Obso.</x:v>
      </x:c>
    </x:row>
    <x:row r="5">
      <x:c r="A5" s="94" t="str">
        <x:v>Dynatrace</x:v>
      </x:c>
      <x:c r="B5" s="82" t="str">
        <x:v>Infra monitoring, Deep monitoring, Custom services, Request naming, Key requests, Synthetic, RUM, dashboards et alertes sont évalués séparément.</x:v>
      </x:c>
    </x:row>
    <x:row r="6">
      <x:c r="A6" s="94" t="str">
        <x:v>LaaS</x:v>
      </x:c>
      <x:c r="B6" s="82" t="str">
        <x:v>Logs structurés → centralisation → dashboards → alertes.</x:v>
      </x:c>
    </x:row>
    <x:row r="7">
      <x:c r="A7" s="94" t="str">
        <x:v>Reporting</x:v>
      </x:c>
      <x:c r="B7" s="82" t="str">
        <x:v>Morning check et reporting post-MEP.</x:v>
      </x:c>
    </x:row>
    <x:row r="8">
      <x:c r="A8" s="94" t="str">
        <x:v>Delivery &amp; DevOps</x:v>
      </x:c>
      <x:c r="B8" s="82" t="str">
        <x:v>CI automatisé : DevOpsFundation / Oui / Partiel / Non / N/A. CD automatisé : Oui / Partiel / Non / N/A. Rollback, secrets et configuration externalisée sont suivis séparément.</x:v>
      </x:c>
    </x:row>
    <x:row r="9">
      <x:c r="A9" s="94" t="str">
        <x:v>Qualité</x:v>
      </x:c>
      <x:c r="B9" s="82" t="str">
        <x:v>Tests unitaires, E2E, tirs/tests de performance, respect du Quality Gate et revue de code. SonarQube est la référence qualité.</x:v>
      </x:c>
    </x:row>
    <x:row r="10">
      <x:c r="A10" s="94" t="str">
        <x:v>Sécurité scans</x:v>
      </x:c>
      <x:c r="B10" s="82" t="str">
        <x:v>Pour SAST, SCA et DAST/exposition externe : distinguer mise en place du scan et remédiation des résultats.</x:v>
      </x:c>
    </x:row>
    <x:row r="11">
      <x:c r="A11" s="94" t="str">
        <x:v>DAST / exposition externe</x:v>
      </x:c>
      <x:c r="B11" s="82" t="str">
        <x:v>Outils : Qualys, BitSight, Qualys + BitSight, Autre ou Aucun.</x:v>
      </x:c>
    </x:row>
    <x:row r="12">
      <x:c r="A12" s="94" t="str">
        <x:v>Pentest</x:v>
      </x:c>
      <x:c r="B12" s="82" t="str">
        <x:v>Deux niveaux : pentest réalisé et remédiation des constats.</x:v>
      </x:c>
    </x:row>
    <x:row r="13">
      <x:c r="A13" s="94" t="str">
        <x:v>Gestion incidents</x:v>
      </x:c>
      <x:c r="B13" s="82" t="str">
        <x:v>RCA, post-mortem, suivi des actions d'amélioration et renforcement du monitoring après incident.</x:v>
      </x:c>
    </x:row>
    <x:row r="14">
      <x:c r="A14" s="94" t="str">
        <x:v>Valeurs</x:v>
      </x:c>
      <x:c r="B14" s="82" t="str">
        <x:v>☑ Implémenté / ☑ Oui, ◐ Partiel, ☐ Non implémenté / ☐ Non, — N/A, ? À évaluer selon le critère.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22" hidden="0" customWidth="1"/>
    <x:col min="5" max="5" width="13" hidden="0" customWidth="1"/>
    <x:col min="6" max="6" width="16" hidden="0" customWidth="1"/>
    <x:col min="7" max="7" width="14" hidden="0" customWidth="1"/>
    <x:col min="8" max="8" width="18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14" hidden="0" customWidth="1"/>
    <x:col min="15" max="15" width="20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4" hidden="0" customWidth="1"/>
    <x:col min="21" max="21" width="22" hidden="0" customWidth="1"/>
    <x:col min="22" max="22" width="16" hidden="0" customWidth="1"/>
    <x:col min="23" max="23" width="18" hidden="0" customWidth="1"/>
    <x:col min="24" max="24" width="22" hidden="0" customWidth="1"/>
    <x:col min="25" max="25" width="18" hidden="0" customWidth="1"/>
    <x:col min="26" max="26" width="18" hidden="0" customWidth="1"/>
    <x:col min="27" max="27" width="18" hidden="0" customWidth="1"/>
    <x:col min="28" max="28" width="16" hidden="0" customWidth="1"/>
    <x:col min="29" max="29" width="24" hidden="0" customWidth="1"/>
    <x:col min="30" max="30" width="28" hidden="0" customWidth="1"/>
    <x:col min="31" max="31" width="22" hidden="0" customWidth="1"/>
    <x:col min="32" max="32" width="18" hidden="0" customWidth="1"/>
    <x:col min="33" max="33" width="14" hidden="0" customWidth="1"/>
    <x:col min="34" max="34" width="16" hidden="0" customWidth="1"/>
    <x:col min="35" max="35" width="22" hidden="0" customWidth="1"/>
    <x:col min="36" max="36" width="20" hidden="0" customWidth="1"/>
    <x:col min="37" max="37" width="16" hidden="0" customWidth="1"/>
    <x:col min="38" max="38" width="20" hidden="0" customWidth="1"/>
    <x:col min="39" max="39" width="18" hidden="0" customWidth="1"/>
    <x:col min="40" max="40" width="18" hidden="0" customWidth="1"/>
    <x:col min="41" max="41" width="20" hidden="0" customWidth="1"/>
    <x:col min="42" max="42" width="18" hidden="0" customWidth="1"/>
    <x:col min="43" max="43" width="18" hidden="0" customWidth="1"/>
    <x:col min="44" max="44" width="26" hidden="0" customWidth="1"/>
    <x:col min="45" max="45" width="30" hidden="0" customWidth="1"/>
    <x:col min="46" max="46" width="28" hidden="0" customWidth="1"/>
    <x:col min="47" max="47" width="18" hidden="0" customWidth="1"/>
    <x:col min="48" max="48" width="20" hidden="0" customWidth="1"/>
    <x:col min="49" max="49" width="18" hidden="0" customWidth="1"/>
    <x:col min="50" max="50" width="24" hidden="0" customWidth="1"/>
    <x:col min="51" max="51" width="24" hidden="0" customWidth="1"/>
    <x:col min="52" max="52" width="22" hidden="0" customWidth="1"/>
    <x:col min="53" max="53" width="18" hidden="0" customWidth="1"/>
    <x:col min="54" max="54" width="24" hidden="0" customWidth="1"/>
    <x:col min="55" max="55" width="26" hidden="0" customWidth="1"/>
    <x:col min="56" max="56" width="22" hidden="0" customWidth="1"/>
    <x:col min="57" max="57" width="16" hidden="0" customWidth="1"/>
    <x:col min="58" max="58" width="18" hidden="0" customWidth="1"/>
    <x:col min="59" max="59" width="32" hidden="0" customWidth="1"/>
  </x:cols>
  <x:sheetData>
    <x:row r="1" ht="24" customHeight="1">
      <x:c r="A1" s="15" t="str">
        <x:v>Identification</x:v>
      </x:c>
      <x:c r="B1" s="15"/>
      <x:c r="C1" s="15"/>
      <x:c r="D1" s="15"/>
      <x:c r="E1" s="15"/>
      <x:c r="F1" s="15"/>
      <x:c r="G1" s="15"/>
      <x:c r="H1" s="23" t="str">
        <x:v>Dynatrace</x:v>
      </x:c>
      <x:c r="I1" s="23"/>
      <x:c r="J1" s="23"/>
      <x:c r="K1" s="23"/>
      <x:c r="L1" s="23"/>
      <x:c r="M1" s="23"/>
      <x:c r="N1" s="23"/>
      <x:c r="O1" s="23"/>
      <x:c r="P1" s="23"/>
      <x:c r="Q1" s="23"/>
      <x:c r="R1" s="31" t="str">
        <x:v>LaaS / Logs</x:v>
      </x:c>
      <x:c r="S1" s="31"/>
      <x:c r="T1" s="31"/>
      <x:c r="U1" s="31"/>
      <x:c r="V1" s="31"/>
      <x:c r="W1" s="15" t="str">
        <x:v>Reporting</x:v>
      </x:c>
      <x:c r="X1" s="15"/>
      <x:c r="Y1" s="15"/>
      <x:c r="Z1" s="39" t="str">
        <x:v>Delivery &amp; DevOps</x:v>
      </x:c>
      <x:c r="AA1" s="39"/>
      <x:c r="AB1" s="39"/>
      <x:c r="AC1" s="39"/>
      <x:c r="AD1" s="39"/>
      <x:c r="AE1" s="39"/>
      <x:c r="AF1" s="47" t="str">
        <x:v>Qualité &amp; tests</x:v>
      </x:c>
      <x:c r="AG1" s="47"/>
      <x:c r="AH1" s="47"/>
      <x:c r="AI1" s="47"/>
      <x:c r="AJ1" s="47"/>
      <x:c r="AK1" s="47"/>
      <x:c r="AL1" s="55" t="str">
        <x:v>Sécurité</x:v>
      </x:c>
      <x:c r="AM1" s="55"/>
      <x:c r="AN1" s="55"/>
      <x:c r="AO1" s="55"/>
      <x:c r="AP1" s="55"/>
      <x:c r="AQ1" s="55"/>
      <x:c r="AR1" s="55"/>
      <x:c r="AS1" s="55"/>
      <x:c r="AT1" s="55"/>
      <x:c r="AU1" s="55"/>
      <x:c r="AV1" s="55"/>
      <x:c r="AW1" s="55"/>
      <x:c r="AX1" s="55"/>
      <x:c r="AY1" s="55"/>
      <x:c r="AZ1" s="63" t="str">
        <x:v>Gestion des incidents</x:v>
      </x:c>
      <x:c r="BA1" s="63"/>
      <x:c r="BB1" s="63"/>
      <x:c r="BC1" s="63"/>
      <x:c r="BD1" s="63"/>
      <x:c r="BE1" s="69" t="str">
        <x:v>Synthèse</x:v>
      </x:c>
      <x:c r="BF1" s="69"/>
      <x:c r="BG1" s="69"/>
    </x:row>
    <x:row r="2" ht="58" customHeight="1">
      <x:c r="A2" s="76" t="str">
        <x:v>Squad</x:v>
      </x:c>
      <x:c r="B2" s="76" t="str">
        <x:v>Application</x:v>
      </x:c>
      <x:c r="C2" s="76" t="str">
        <x:v>Code App</x:v>
      </x:c>
      <x:c r="D2" s="76" t="str">
        <x:v>Tech lead</x:v>
      </x:c>
      <x:c r="E2" s="76" t="str">
        <x:v>Criticité</x:v>
      </x:c>
      <x:c r="F2" s="76" t="str">
        <x:v>Hébergement</x:v>
      </x:c>
      <x:c r="G2" s="76" t="str">
        <x:v>Exposition</x:v>
      </x:c>
      <x:c r="H2" s="76" t="str">
        <x:v>Infra monitoring</x:v>
      </x:c>
      <x:c r="I2" s="76" t="str">
        <x:v>Deep monitoring </x:v>
      </x:c>
      <x:c r="J2" s="76" t="str">
        <x:v>Custom services</x:v>
      </x:c>
      <x:c r="K2" s="76" t="str">
        <x:v>Request naming</x:v>
      </x:c>
      <x:c r="L2" s="76" t="str">
        <x:v>Key requests</x:v>
      </x:c>
      <x:c r="M2" s="76" t="str">
        <x:v>Synthetic monitoring</x:v>
      </x:c>
      <x:c r="N2" s="76" t="str">
        <x:v>RUM</x:v>
      </x:c>
      <x:c r="O2" s="76" t="str">
        <x:v>Dashboards Dynatrace</x:v>
      </x:c>
      <x:c r="P2" s="76" t="str">
        <x:v>Alertes Dynatrace</x:v>
      </x:c>
      <x:c r="Q2" s="76" t="str">
        <x:v>Couverture Dynatrace %</x:v>
      </x:c>
      <x:c r="R2" s="76" t="str">
        <x:v>Logs structurés</x:v>
      </x:c>
      <x:c r="S2" s="76" t="str">
        <x:v>Ingestion / centralisation LaaS</x:v>
      </x:c>
      <x:c r="T2" s="76" t="str">
        <x:v>Dashboards basés sur les logs</x:v>
      </x:c>
      <x:c r="U2" s="76" t="str">
        <x:v>Alertes basées sur les logs</x:v>
      </x:c>
      <x:c r="V2" s="76" t="str">
        <x:v>Couverture LaaS %</x:v>
      </x:c>
      <x:c r="W2" s="76" t="str">
        <x:v>Morning check</x:v>
      </x:c>
      <x:c r="X2" s="76" t="str">
        <x:v>Reporting post-MEP</x:v>
      </x:c>
      <x:c r="Y2" s="76" t="str">
        <x:v>Couverture reporting %</x:v>
      </x:c>
      <x:c r="Z2" s="76" t="str">
        <x:v>CI automatisé</x:v>
      </x:c>
      <x:c r="AA2" s="76" t="str">
        <x:v>CD automatisé</x:v>
      </x:c>
      <x:c r="AB2" s="76" t="str">
        <x:v>Rollback</x:v>
      </x:c>
      <x:c r="AC2" s="76" t="str">
        <x:v>Secrets externalisés / HVault</x:v>
      </x:c>
      <x:c r="AD2" s="76" t="str">
        <x:v>Configuration applicative externalisée</x:v>
      </x:c>
      <x:c r="AE2" s="76" t="str">
        <x:v>Solution utilisée</x:v>
      </x:c>
      <x:c r="AF2" s="76" t="str">
        <x:v>Tests unitaires</x:v>
      </x:c>
      <x:c r="AG2" s="76" t="str">
        <x:v>Couverture UT %</x:v>
      </x:c>
      <x:c r="AH2" s="76" t="str">
        <x:v>Tests E2E</x:v>
      </x:c>
      <x:c r="AI2" s="76" t="str">
        <x:v>Tirs / tests de performance</x:v>
      </x:c>
      <x:c r="AJ2" s="76" t="str">
        <x:v>Quality Gate respecté ?</x:v>
      </x:c>
      <x:c r="AK2" s="76" t="str">
        <x:v>Revue de code</x:v>
      </x:c>
      <x:c r="AL2" s="76" t="str">
        <x:v>SAST - scan implémenté</x:v>
      </x:c>
      <x:c r="AM2" s="76" t="str">
        <x:v>SAST - remédiation</x:v>
      </x:c>
      <x:c r="AN2" s="76" t="str">
        <x:v>Outil SAST</x:v>
      </x:c>
      <x:c r="AO2" s="76" t="str">
        <x:v>SCA - scan implémenté</x:v>
      </x:c>
      <x:c r="AP2" s="76" t="str">
        <x:v>SCA - remédiation</x:v>
      </x:c>
      <x:c r="AQ2" s="76" t="str">
        <x:v>Outil SCA</x:v>
      </x:c>
      <x:c r="AR2" s="76" t="str">
        <x:v>DAST / exposition externe - scan</x:v>
      </x:c>
      <x:c r="AS2" s="76" t="str">
        <x:v>DAST / exposition externe - remédiation</x:v>
      </x:c>
      <x:c r="AT2" s="76" t="str">
        <x:v>Outil DAST / exposition externe</x:v>
      </x:c>
      <x:c r="AU2" s="76" t="str">
        <x:v>Pentest réalisé</x:v>
      </x:c>
      <x:c r="AV2" s="76" t="str">
        <x:v>Pentest - remédiation</x:v>
      </x:c>
      <x:c r="AW2" s="76" t="str">
        <x:v>WAF / Akamai</x:v>
      </x:c>
      <x:c r="AX2" s="76" t="str">
        <x:v>GPG pour transfert de fichiers</x:v>
      </x:c>
      <x:c r="AY2" s="76" t="str">
        <x:v>Chiffrement des données en BD</x:v>
      </x:c>
      <x:c r="AZ2" s="76" t="str">
        <x:v>Root Cause Analysis (RCA)</x:v>
      </x:c>
      <x:c r="BA2" s="76" t="str">
        <x:v>Post-mortem</x:v>
      </x:c>
      <x:c r="BB2" s="76" t="str">
        <x:v>Actions d'amélioration suivies</x:v>
      </x:c>
      <x:c r="BC2" s="76" t="str">
        <x:v>Monitoring renforcé après incident</x:v>
      </x:c>
      <x:c r="BD2" s="76" t="str">
        <x:v>Couverture gestion incidents %</x:v>
      </x:c>
      <x:c r="BE2" s="76" t="str">
        <x:v>Score maturité %</x:v>
      </x:c>
      <x:c r="BF2" s="76" t="str">
        <x:v>Points d'attention</x:v>
      </x:c>
      <x:c r="BG2" s="76" t="str">
        <x:v>Commentaires</x:v>
      </x:c>
    </x:row>
    <x:row r="3">
      <x:c r="A3" s="82" t="str">
        <x:v>Équipe Exemple</x:v>
      </x:c>
      <x:c r="B3" s="82" t="str">
        <x:v>Portail Exemple</x:v>
      </x:c>
      <x:c r="C3" s="82" t="str">
        <x:v>APP-001</x:v>
      </x:c>
      <x:c r="D3" s="82" t="str">
        <x:v>Responsable Exemple</x:v>
      </x:c>
      <x:c r="E3" s="82" t="str">
        <x:v>Haute</x:v>
      </x:c>
      <x:c r="F3" s="82" t="str">
        <x:v>Cloud privé</x:v>
      </x:c>
      <x:c r="G3" s="82" t="str">
        <x:v>Internet</x:v>
      </x:c>
      <x:c r="H3" s="82" t="str">
        <x:v>☑ Implémenté</x:v>
      </x:c>
      <x:c r="I3" s="82" t="str">
        <x:v>☑ Implémenté</x:v>
      </x:c>
      <x:c r="J3" s="82" t="str">
        <x:v>◐ Partiel</x:v>
      </x:c>
      <x:c r="K3" s="82" t="str">
        <x:v>☑ Implémenté</x:v>
      </x:c>
      <x:c r="L3" s="82" t="str">
        <x:v>◐ Partiel</x:v>
      </x:c>
      <x:c r="M3" s="82" t="str">
        <x:v>☑ Implémenté</x:v>
      </x:c>
      <x:c r="N3" s="82" t="str">
        <x:v>☑ Implémenté</x:v>
      </x:c>
      <x:c r="O3" s="82" t="str">
        <x:v>☑ Implémenté</x:v>
      </x:c>
      <x:c r="P3" s="82" t="str">
        <x:v>◐ Partiel</x:v>
      </x:c>
      <x:c r="Q3" s="84" t="n">
        <x:f>IFERROR((COUNTIF(H3:P3,"☑ Implémenté")+COUNTIF(H3:P3,"☑ Oui")+0.5*COUNTIF(H3:P3,"◐ Partiel"))/(COUNTIF(H3:P3,"☑ Implémenté")+COUNTIF(H3:P3,"☑ Oui")+COUNTIF(H3:P3,"◐ Partiel")+COUNTIF(H3:P3,"☐ Non implémenté")+COUNTIF(H3:P3,"☐ Non")),"")</x:f>
        <x:v>0.8333333333333334</x:v>
      </x:c>
      <x:c r="R3" s="82" t="str">
        <x:v>☑ Implémenté</x:v>
      </x:c>
      <x:c r="S3" s="82" t="str">
        <x:v>☑ Implémenté</x:v>
      </x:c>
      <x:c r="T3" s="82" t="str">
        <x:v>☑ Implémenté</x:v>
      </x:c>
      <x:c r="U3" s="82" t="str">
        <x:v>◐ Partiel</x:v>
      </x:c>
      <x:c r="V3" s="84" t="n">
        <x:f>IFERROR((COUNTIF(R3:U3,"☑ Implémenté")+COUNTIF(R3:U3,"☑ Oui")+0.5*COUNTIF(R3:U3,"◐ Partiel"))/(COUNTIF(R3:U3,"☑ Implémenté")+COUNTIF(R3:U3,"☑ Oui")+COUNTIF(R3:U3,"◐ Partiel")+COUNTIF(R3:U3,"☐ Non implémenté")+COUNTIF(R3:U3,"☐ Non")),"")</x:f>
        <x:v>0.875</x:v>
      </x:c>
      <x:c r="W3" s="82" t="str">
        <x:v>☑ Implémenté</x:v>
      </x:c>
      <x:c r="X3" s="82" t="str">
        <x:v>☑ Implémenté</x:v>
      </x:c>
      <x:c r="Y3" s="84" t="n">
        <x:f>IFERROR((COUNTIF(W3:X3,"☑ Implémenté")+COUNTIF(W3:X3,"☑ Oui")+0.5*COUNTIF(W3:X3,"◐ Partiel"))/(COUNTIF(W3:X3,"☑ Implémenté")+COUNTIF(W3:X3,"☑ Oui")+COUNTIF(W3:X3,"◐ Partiel")+COUNTIF(W3:X3,"☐ Non implémenté")+COUNTIF(W3:X3,"☐ Non")),"")</x:f>
        <x:v>1</x:v>
      </x:c>
      <x:c r="Z3" s="82" t="str">
        <x:v>DevOpsFundation</x:v>
      </x:c>
      <x:c r="AA3" s="82" t="str">
        <x:v>◐ Partiel</x:v>
      </x:c>
      <x:c r="AB3" s="82" t="str">
        <x:v>◐ Partiel</x:v>
      </x:c>
      <x:c r="AC3" s="82" t="str">
        <x:v>☑ Oui</x:v>
      </x:c>
      <x:c r="AD3" s="82" t="str">
        <x:v>◐ Partiel</x:v>
      </x:c>
      <x:c r="AE3" s="82" t="str">
        <x:v>HVault</x:v>
      </x:c>
      <x:c r="AF3" s="82" t="str">
        <x:v>☑ Implémenté</x:v>
      </x:c>
      <x:c r="AG3" s="84" t="n">
        <x:v>0.72</x:v>
      </x:c>
      <x:c r="AH3" s="82" t="str">
        <x:v>☐ Non implémenté</x:v>
      </x:c>
      <x:c r="AI3" s="82" t="str">
        <x:v>☑ Implémenté</x:v>
      </x:c>
      <x:c r="AJ3" s="82" t="str">
        <x:v>☑ Oui</x:v>
      </x:c>
      <x:c r="AK3" s="82" t="str">
        <x:v>☑ Implémenté</x:v>
      </x:c>
      <x:c r="AL3" s="82" t="str">
        <x:v>☑ Implémenté</x:v>
      </x:c>
      <x:c r="AM3" s="82" t="str">
        <x:v>◐ Partiel</x:v>
      </x:c>
      <x:c r="AN3" s="82" t="str">
        <x:v>Fortify</x:v>
      </x:c>
      <x:c r="AO3" s="82" t="str">
        <x:v>☑ Implémenté</x:v>
      </x:c>
      <x:c r="AP3" s="82" t="str">
        <x:v>☑ Oui</x:v>
      </x:c>
      <x:c r="AQ3" s="82" t="str">
        <x:v>NexusIQ</x:v>
      </x:c>
      <x:c r="AR3" s="82" t="str">
        <x:v>☑ Oui</x:v>
      </x:c>
      <x:c r="AS3" s="82" t="str">
        <x:v>◐ Partiel</x:v>
      </x:c>
      <x:c r="AT3" s="82" t="str">
        <x:v>Qualys + BitSight</x:v>
      </x:c>
      <x:c r="AU3" s="82" t="str">
        <x:v>☑ Oui</x:v>
      </x:c>
      <x:c r="AV3" s="82" t="str">
        <x:v>◐ Partiel</x:v>
      </x:c>
      <x:c r="AW3" s="82" t="str">
        <x:v>☑ Implémenté</x:v>
      </x:c>
      <x:c r="AX3" s="82" t="str">
        <x:v>— N/A</x:v>
      </x:c>
      <x:c r="AY3" s="82" t="str">
        <x:v>☑ Implémenté</x:v>
      </x:c>
      <x:c r="AZ3" s="82" t="str">
        <x:v>◐ Partiel</x:v>
      </x:c>
      <x:c r="BA3" s="82" t="str">
        <x:v>☑ Implémenté</x:v>
      </x:c>
      <x:c r="BB3" s="82" t="str">
        <x:v>◐ Partiel</x:v>
      </x:c>
      <x:c r="BC3" s="82" t="str">
        <x:v>☑ Implémenté</x:v>
      </x:c>
      <x:c r="BD3" s="84" t="n">
        <x:f>IFERROR((COUNTIF(AZ3:BC3,"☑ Implémenté")+COUNTIF(AZ3:BC3,"☑ Oui")+0.5*COUNTIF(AZ3:BC3,"◐ Partiel"))/(COUNTIF(AZ3:BC3,"☑ Implémenté")+COUNTIF(AZ3:BC3,"☑ Oui")+COUNTIF(AZ3:BC3,"◐ Partiel")+COUNTIF(AZ3:BC3,"☐ Non implémenté")+COUNTIF(AZ3:BC3,"☐ Non")),"")</x:f>
        <x:v>0.75</x:v>
      </x:c>
      <x:c r="BE3" s="84" t="n">
        <x:f>IFERROR((COUNTIF(H3:BD3,"☑ Implémenté")+COUNTIF(H3:BD3,"☑ Oui")+COUNTIF(H3:BD3,"DevOpsFundation")+0.5*COUNTIF(H3:BD3,"◐ Partiel"))/(COUNTIF(H3:BD3,"☑ Implémenté")+COUNTIF(H3:BD3,"☑ Oui")+COUNTIF(H3:BD3,"DevOpsFundation")+COUNTIF(H3:BD3,"◐ Partiel")+COUNTIF(H3:BD3,"☐ Non implémenté")+COUNTIF(H3:BD3,"☐ Non")),"")</x:f>
        <x:v>0.8205128205128205</x:v>
      </x:c>
      <x:c r="BF3" s="82" t="n">
        <x:f>IF(B3="","",COUNTIF(H3:BD3,"☐ Non implémenté")+COUNTIF(H3:BD3,"☐ Non")+COUNTIF(H3:BD3,"◐ Partiel"))</x:f>
        <x:v>13</x:v>
      </x:c>
      <x:c r="BG3" s="82" t="str">
        <x:v>Exemple V7.</x:v>
      </x:c>
    </x:row>
    <x:row r="4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  <x:c r="O4" s="82"/>
      <x:c r="P4" s="82"/>
      <x:c r="Q4" s="84" t="str">
        <x:f>IFERROR((COUNTIF(H4:P4,"☑ Implémenté")+COUNTIF(H4:P4,"☑ Oui")+0.5*COUNTIF(H4:P4,"◐ Partiel"))/(COUNTIF(H4:P4,"☑ Implémenté")+COUNTIF(H4:P4,"☑ Oui")+COUNTIF(H4:P4,"◐ Partiel")+COUNTIF(H4:P4,"☐ Non implémenté")+COUNTIF(H4:P4,"☐ Non")),"")</x:f>
      </x:c>
      <x:c r="R4" s="82"/>
      <x:c r="S4" s="82"/>
      <x:c r="T4" s="82"/>
      <x:c r="U4" s="82"/>
      <x:c r="V4" s="84" t="str">
        <x:f>IFERROR((COUNTIF(R4:U4,"☑ Implémenté")+COUNTIF(R4:U4,"☑ Oui")+0.5*COUNTIF(R4:U4,"◐ Partiel"))/(COUNTIF(R4:U4,"☑ Implémenté")+COUNTIF(R4:U4,"☑ Oui")+COUNTIF(R4:U4,"◐ Partiel")+COUNTIF(R4:U4,"☐ Non implémenté")+COUNTIF(R4:U4,"☐ Non")),"")</x:f>
      </x:c>
      <x:c r="W4" s="82"/>
      <x:c r="X4" s="82"/>
      <x:c r="Y4" s="84" t="str">
        <x:f>IFERROR((COUNTIF(W4:X4,"☑ Implémenté")+COUNTIF(W4:X4,"☑ Oui")+0.5*COUNTIF(W4:X4,"◐ Partiel"))/(COUNTIF(W4:X4,"☑ Implémenté")+COUNTIF(W4:X4,"☑ Oui")+COUNTIF(W4:X4,"◐ Partiel")+COUNTIF(W4:X4,"☐ Non implémenté")+COUNTIF(W4:X4,"☐ Non")),"")</x:f>
      </x:c>
      <x:c r="Z4" s="82"/>
      <x:c r="AA4" s="82"/>
      <x:c r="AB4" s="82"/>
      <x:c r="AC4" s="82"/>
      <x:c r="AD4" s="82"/>
      <x:c r="AE4" s="82"/>
      <x:c r="AF4" s="82"/>
      <x:c r="AG4" s="84"/>
      <x:c r="AH4" s="82"/>
      <x:c r="AI4" s="82"/>
      <x:c r="AJ4" s="82"/>
      <x:c r="AK4" s="82"/>
      <x:c r="AL4" s="82"/>
      <x:c r="AM4" s="82"/>
      <x:c r="AN4" s="82"/>
      <x:c r="AO4" s="82"/>
      <x:c r="AP4" s="82"/>
      <x:c r="AQ4" s="82"/>
      <x:c r="AR4" s="82"/>
      <x:c r="AS4" s="82"/>
      <x:c r="AT4" s="82"/>
      <x:c r="AU4" s="82"/>
      <x:c r="AV4" s="82"/>
      <x:c r="AW4" s="82"/>
      <x:c r="AX4" s="82"/>
      <x:c r="AY4" s="82"/>
      <x:c r="AZ4" s="82"/>
      <x:c r="BA4" s="82"/>
      <x:c r="BB4" s="82"/>
      <x:c r="BC4" s="82"/>
      <x:c r="BD4" s="84" t="str">
        <x:f>IFERROR((COUNTIF(AZ4:BC4,"☑ Implémenté")+COUNTIF(AZ4:BC4,"☑ Oui")+0.5*COUNTIF(AZ4:BC4,"◐ Partiel"))/(COUNTIF(AZ4:BC4,"☑ Implémenté")+COUNTIF(AZ4:BC4,"☑ Oui")+COUNTIF(AZ4:BC4,"◐ Partiel")+COUNTIF(AZ4:BC4,"☐ Non implémenté")+COUNTIF(AZ4:BC4,"☐ Non")),"")</x:f>
      </x:c>
      <x:c r="BE4" s="84" t="str">
        <x:f>IFERROR((COUNTIF(H4:BD4,"☑ Implémenté")+COUNTIF(H4:BD4,"☑ Oui")+COUNTIF(H4:BD4,"DevOpsFundation")+0.5*COUNTIF(H4:BD4,"◐ Partiel"))/(COUNTIF(H4:BD4,"☑ Implémenté")+COUNTIF(H4:BD4,"☑ Oui")+COUNTIF(H4:BD4,"DevOpsFundation")+COUNTIF(H4:BD4,"◐ Partiel")+COUNTIF(H4:BD4,"☐ Non implémenté")+COUNTIF(H4:BD4,"☐ Non")),"")</x:f>
      </x:c>
      <x:c r="BF4" s="82" t="str">
        <x:f>IF(B4="","",COUNTIF(H4:BD4,"☐ Non implémenté")+COUNTIF(H4:BD4,"☐ Non")+COUNTIF(H4:BD4,"◐ Partiel"))</x:f>
      </x:c>
      <x:c r="BG4" s="82"/>
    </x:row>
    <x:row r="5">
      <x:c r="A5" s="82"/>
      <x:c r="B5" s="82"/>
      <x:c r="C5" s="82"/>
      <x:c r="D5" s="82"/>
      <x:c r="E5" s="82"/>
      <x:c r="F5" s="82"/>
      <x:c r="G5" s="82"/>
      <x:c r="H5" s="82"/>
      <x:c r="I5" s="82"/>
      <x:c r="J5" s="82"/>
      <x:c r="K5" s="82"/>
      <x:c r="L5" s="82"/>
      <x:c r="M5" s="82"/>
      <x:c r="N5" s="82"/>
      <x:c r="O5" s="82"/>
      <x:c r="P5" s="82"/>
      <x:c r="Q5" s="84" t="str">
        <x:f>IFERROR((COUNTIF(H5:P5,"☑ Implémenté")+COUNTIF(H5:P5,"☑ Oui")+0.5*COUNTIF(H5:P5,"◐ Partiel"))/(COUNTIF(H5:P5,"☑ Implémenté")+COUNTIF(H5:P5,"☑ Oui")+COUNTIF(H5:P5,"◐ Partiel")+COUNTIF(H5:P5,"☐ Non implémenté")+COUNTIF(H5:P5,"☐ Non")),"")</x:f>
      </x:c>
      <x:c r="R5" s="82"/>
      <x:c r="S5" s="82"/>
      <x:c r="T5" s="82"/>
      <x:c r="U5" s="82"/>
      <x:c r="V5" s="84" t="str">
        <x:f>IFERROR((COUNTIF(R5:U5,"☑ Implémenté")+COUNTIF(R5:U5,"☑ Oui")+0.5*COUNTIF(R5:U5,"◐ Partiel"))/(COUNTIF(R5:U5,"☑ Implémenté")+COUNTIF(R5:U5,"☑ Oui")+COUNTIF(R5:U5,"◐ Partiel")+COUNTIF(R5:U5,"☐ Non implémenté")+COUNTIF(R5:U5,"☐ Non")),"")</x:f>
      </x:c>
      <x:c r="W5" s="82"/>
      <x:c r="X5" s="82"/>
      <x:c r="Y5" s="84" t="str">
        <x:f>IFERROR((COUNTIF(W5:X5,"☑ Implémenté")+COUNTIF(W5:X5,"☑ Oui")+0.5*COUNTIF(W5:X5,"◐ Partiel"))/(COUNTIF(W5:X5,"☑ Implémenté")+COUNTIF(W5:X5,"☑ Oui")+COUNTIF(W5:X5,"◐ Partiel")+COUNTIF(W5:X5,"☐ Non implémenté")+COUNTIF(W5:X5,"☐ Non")),"")</x:f>
      </x:c>
      <x:c r="Z5" s="82"/>
      <x:c r="AA5" s="82"/>
      <x:c r="AB5" s="82"/>
      <x:c r="AC5" s="82"/>
      <x:c r="AD5" s="82"/>
      <x:c r="AE5" s="82"/>
      <x:c r="AF5" s="82"/>
      <x:c r="AG5" s="84"/>
      <x:c r="AH5" s="82"/>
      <x:c r="AI5" s="82"/>
      <x:c r="AJ5" s="82"/>
      <x:c r="AK5" s="82"/>
      <x:c r="AL5" s="82"/>
      <x:c r="AM5" s="82"/>
      <x:c r="AN5" s="82"/>
      <x:c r="AO5" s="82"/>
      <x:c r="AP5" s="82"/>
      <x:c r="AQ5" s="82"/>
      <x:c r="AR5" s="82"/>
      <x:c r="AS5" s="82"/>
      <x:c r="AT5" s="82"/>
      <x:c r="AU5" s="82"/>
      <x:c r="AV5" s="82"/>
      <x:c r="AW5" s="82"/>
      <x:c r="AX5" s="82"/>
      <x:c r="AY5" s="82"/>
      <x:c r="AZ5" s="82"/>
      <x:c r="BA5" s="82"/>
      <x:c r="BB5" s="82"/>
      <x:c r="BC5" s="82"/>
      <x:c r="BD5" s="84" t="str">
        <x:f>IFERROR((COUNTIF(AZ5:BC5,"☑ Implémenté")+COUNTIF(AZ5:BC5,"☑ Oui")+0.5*COUNTIF(AZ5:BC5,"◐ Partiel"))/(COUNTIF(AZ5:BC5,"☑ Implémenté")+COUNTIF(AZ5:BC5,"☑ Oui")+COUNTIF(AZ5:BC5,"◐ Partiel")+COUNTIF(AZ5:BC5,"☐ Non implémenté")+COUNTIF(AZ5:BC5,"☐ Non")),"")</x:f>
      </x:c>
      <x:c r="BE5" s="84" t="str">
        <x:f>IFERROR((COUNTIF(H5:BD5,"☑ Implémenté")+COUNTIF(H5:BD5,"☑ Oui")+COUNTIF(H5:BD5,"DevOpsFundation")+0.5*COUNTIF(H5:BD5,"◐ Partiel"))/(COUNTIF(H5:BD5,"☑ Implémenté")+COUNTIF(H5:BD5,"☑ Oui")+COUNTIF(H5:BD5,"DevOpsFundation")+COUNTIF(H5:BD5,"◐ Partiel")+COUNTIF(H5:BD5,"☐ Non implémenté")+COUNTIF(H5:BD5,"☐ Non")),"")</x:f>
      </x:c>
      <x:c r="BF5" s="82" t="str">
        <x:f>IF(B5="","",COUNTIF(H5:BD5,"☐ Non implémenté")+COUNTIF(H5:BD5,"☐ Non")+COUNTIF(H5:BD5,"◐ Partiel"))</x:f>
      </x:c>
      <x:c r="BG5" s="82"/>
    </x:row>
    <x:row r="6">
      <x:c r="A6" s="82"/>
      <x:c r="B6" s="82"/>
      <x:c r="C6" s="82"/>
      <x:c r="D6" s="82"/>
      <x:c r="E6" s="82"/>
      <x:c r="F6" s="82"/>
      <x:c r="G6" s="82"/>
      <x:c r="H6" s="82"/>
      <x:c r="I6" s="82"/>
      <x:c r="J6" s="82"/>
      <x:c r="K6" s="82"/>
      <x:c r="L6" s="82"/>
      <x:c r="M6" s="82"/>
      <x:c r="N6" s="82"/>
      <x:c r="O6" s="82"/>
      <x:c r="P6" s="82"/>
      <x:c r="Q6" s="84" t="str">
        <x:f>IFERROR((COUNTIF(H6:P6,"☑ Implémenté")+COUNTIF(H6:P6,"☑ Oui")+0.5*COUNTIF(H6:P6,"◐ Partiel"))/(COUNTIF(H6:P6,"☑ Implémenté")+COUNTIF(H6:P6,"☑ Oui")+COUNTIF(H6:P6,"◐ Partiel")+COUNTIF(H6:P6,"☐ Non implémenté")+COUNTIF(H6:P6,"☐ Non")),"")</x:f>
      </x:c>
      <x:c r="R6" s="82"/>
      <x:c r="S6" s="82"/>
      <x:c r="T6" s="82"/>
      <x:c r="U6" s="82"/>
      <x:c r="V6" s="84" t="str">
        <x:f>IFERROR((COUNTIF(R6:U6,"☑ Implémenté")+COUNTIF(R6:U6,"☑ Oui")+0.5*COUNTIF(R6:U6,"◐ Partiel"))/(COUNTIF(R6:U6,"☑ Implémenté")+COUNTIF(R6:U6,"☑ Oui")+COUNTIF(R6:U6,"◐ Partiel")+COUNTIF(R6:U6,"☐ Non implémenté")+COUNTIF(R6:U6,"☐ Non")),"")</x:f>
      </x:c>
      <x:c r="W6" s="82"/>
      <x:c r="X6" s="82"/>
      <x:c r="Y6" s="84" t="str">
        <x:f>IFERROR((COUNTIF(W6:X6,"☑ Implémenté")+COUNTIF(W6:X6,"☑ Oui")+0.5*COUNTIF(W6:X6,"◐ Partiel"))/(COUNTIF(W6:X6,"☑ Implémenté")+COUNTIF(W6:X6,"☑ Oui")+COUNTIF(W6:X6,"◐ Partiel")+COUNTIF(W6:X6,"☐ Non implémenté")+COUNTIF(W6:X6,"☐ Non")),"")</x:f>
      </x:c>
      <x:c r="Z6" s="82"/>
      <x:c r="AA6" s="82"/>
      <x:c r="AB6" s="82"/>
      <x:c r="AC6" s="82"/>
      <x:c r="AD6" s="82"/>
      <x:c r="AE6" s="82"/>
      <x:c r="AF6" s="82"/>
      <x:c r="AG6" s="84"/>
      <x:c r="AH6" s="82"/>
      <x:c r="AI6" s="82"/>
      <x:c r="AJ6" s="82"/>
      <x:c r="AK6" s="82"/>
      <x:c r="AL6" s="82"/>
      <x:c r="AM6" s="82"/>
      <x:c r="AN6" s="82"/>
      <x:c r="AO6" s="82"/>
      <x:c r="AP6" s="82"/>
      <x:c r="AQ6" s="82"/>
      <x:c r="AR6" s="82"/>
      <x:c r="AS6" s="82"/>
      <x:c r="AT6" s="82"/>
      <x:c r="AU6" s="82"/>
      <x:c r="AV6" s="82"/>
      <x:c r="AW6" s="82"/>
      <x:c r="AX6" s="82"/>
      <x:c r="AY6" s="82"/>
      <x:c r="AZ6" s="82"/>
      <x:c r="BA6" s="82"/>
      <x:c r="BB6" s="82"/>
      <x:c r="BC6" s="82"/>
      <x:c r="BD6" s="84" t="str">
        <x:f>IFERROR((COUNTIF(AZ6:BC6,"☑ Implémenté")+COUNTIF(AZ6:BC6,"☑ Oui")+0.5*COUNTIF(AZ6:BC6,"◐ Partiel"))/(COUNTIF(AZ6:BC6,"☑ Implémenté")+COUNTIF(AZ6:BC6,"☑ Oui")+COUNTIF(AZ6:BC6,"◐ Partiel")+COUNTIF(AZ6:BC6,"☐ Non implémenté")+COUNTIF(AZ6:BC6,"☐ Non")),"")</x:f>
      </x:c>
      <x:c r="BE6" s="84" t="str">
        <x:f>IFERROR((COUNTIF(H6:BD6,"☑ Implémenté")+COUNTIF(H6:BD6,"☑ Oui")+COUNTIF(H6:BD6,"DevOpsFundation")+0.5*COUNTIF(H6:BD6,"◐ Partiel"))/(COUNTIF(H6:BD6,"☑ Implémenté")+COUNTIF(H6:BD6,"☑ Oui")+COUNTIF(H6:BD6,"DevOpsFundation")+COUNTIF(H6:BD6,"◐ Partiel")+COUNTIF(H6:BD6,"☐ Non implémenté")+COUNTIF(H6:BD6,"☐ Non")),"")</x:f>
      </x:c>
      <x:c r="BF6" s="82" t="str">
        <x:f>IF(B6="","",COUNTIF(H6:BD6,"☐ Non implémenté")+COUNTIF(H6:BD6,"☐ Non")+COUNTIF(H6:BD6,"◐ Partiel"))</x:f>
      </x:c>
      <x:c r="BG6" s="82"/>
    </x:row>
    <x:row r="7">
      <x:c r="A7" s="82"/>
      <x:c r="B7" s="82"/>
      <x:c r="C7" s="82"/>
      <x:c r="D7" s="82"/>
      <x:c r="E7" s="82"/>
      <x:c r="F7" s="82"/>
      <x:c r="G7" s="82"/>
      <x:c r="H7" s="82"/>
      <x:c r="I7" s="82"/>
      <x:c r="J7" s="82"/>
      <x:c r="K7" s="82"/>
      <x:c r="L7" s="82"/>
      <x:c r="M7" s="82"/>
      <x:c r="N7" s="82"/>
      <x:c r="O7" s="82"/>
      <x:c r="P7" s="82"/>
      <x:c r="Q7" s="84" t="str">
        <x:f>IFERROR((COUNTIF(H7:P7,"☑ Implémenté")+COUNTIF(H7:P7,"☑ Oui")+0.5*COUNTIF(H7:P7,"◐ Partiel"))/(COUNTIF(H7:P7,"☑ Implémenté")+COUNTIF(H7:P7,"☑ Oui")+COUNTIF(H7:P7,"◐ Partiel")+COUNTIF(H7:P7,"☐ Non implémenté")+COUNTIF(H7:P7,"☐ Non")),"")</x:f>
      </x:c>
      <x:c r="R7" s="82"/>
      <x:c r="S7" s="82"/>
      <x:c r="T7" s="82"/>
      <x:c r="U7" s="82"/>
      <x:c r="V7" s="84" t="str">
        <x:f>IFERROR((COUNTIF(R7:U7,"☑ Implémenté")+COUNTIF(R7:U7,"☑ Oui")+0.5*COUNTIF(R7:U7,"◐ Partiel"))/(COUNTIF(R7:U7,"☑ Implémenté")+COUNTIF(R7:U7,"☑ Oui")+COUNTIF(R7:U7,"◐ Partiel")+COUNTIF(R7:U7,"☐ Non implémenté")+COUNTIF(R7:U7,"☐ Non")),"")</x:f>
      </x:c>
      <x:c r="W7" s="82"/>
      <x:c r="X7" s="82"/>
      <x:c r="Y7" s="84" t="str">
        <x:f>IFERROR((COUNTIF(W7:X7,"☑ Implémenté")+COUNTIF(W7:X7,"☑ Oui")+0.5*COUNTIF(W7:X7,"◐ Partiel"))/(COUNTIF(W7:X7,"☑ Implémenté")+COUNTIF(W7:X7,"☑ Oui")+COUNTIF(W7:X7,"◐ Partiel")+COUNTIF(W7:X7,"☐ Non implémenté")+COUNTIF(W7:X7,"☐ Non")),"")</x:f>
      </x:c>
      <x:c r="Z7" s="82"/>
      <x:c r="AA7" s="82"/>
      <x:c r="AB7" s="82"/>
      <x:c r="AC7" s="82"/>
      <x:c r="AD7" s="82"/>
      <x:c r="AE7" s="82"/>
      <x:c r="AF7" s="82"/>
      <x:c r="AG7" s="84"/>
      <x:c r="AH7" s="82"/>
      <x:c r="AI7" s="82"/>
      <x:c r="AJ7" s="82"/>
      <x:c r="AK7" s="82"/>
      <x:c r="AL7" s="82"/>
      <x:c r="AM7" s="82"/>
      <x:c r="AN7" s="82"/>
      <x:c r="AO7" s="82"/>
      <x:c r="AP7" s="82"/>
      <x:c r="AQ7" s="82"/>
      <x:c r="AR7" s="82"/>
      <x:c r="AS7" s="82"/>
      <x:c r="AT7" s="82"/>
      <x:c r="AU7" s="82"/>
      <x:c r="AV7" s="82"/>
      <x:c r="AW7" s="82"/>
      <x:c r="AX7" s="82"/>
      <x:c r="AY7" s="82"/>
      <x:c r="AZ7" s="82"/>
      <x:c r="BA7" s="82"/>
      <x:c r="BB7" s="82"/>
      <x:c r="BC7" s="82"/>
      <x:c r="BD7" s="84" t="str">
        <x:f>IFERROR((COUNTIF(AZ7:BC7,"☑ Implémenté")+COUNTIF(AZ7:BC7,"☑ Oui")+0.5*COUNTIF(AZ7:BC7,"◐ Partiel"))/(COUNTIF(AZ7:BC7,"☑ Implémenté")+COUNTIF(AZ7:BC7,"☑ Oui")+COUNTIF(AZ7:BC7,"◐ Partiel")+COUNTIF(AZ7:BC7,"☐ Non implémenté")+COUNTIF(AZ7:BC7,"☐ Non")),"")</x:f>
      </x:c>
      <x:c r="BE7" s="84" t="str">
        <x:f>IFERROR((COUNTIF(H7:BD7,"☑ Implémenté")+COUNTIF(H7:BD7,"☑ Oui")+COUNTIF(H7:BD7,"DevOpsFundation")+0.5*COUNTIF(H7:BD7,"◐ Partiel"))/(COUNTIF(H7:BD7,"☑ Implémenté")+COUNTIF(H7:BD7,"☑ Oui")+COUNTIF(H7:BD7,"DevOpsFundation")+COUNTIF(H7:BD7,"◐ Partiel")+COUNTIF(H7:BD7,"☐ Non implémenté")+COUNTIF(H7:BD7,"☐ Non")),"")</x:f>
      </x:c>
      <x:c r="BF7" s="82" t="str">
        <x:f>IF(B7="","",COUNTIF(H7:BD7,"☐ Non implémenté")+COUNTIF(H7:BD7,"☐ Non")+COUNTIF(H7:BD7,"◐ Partiel"))</x:f>
      </x:c>
      <x:c r="BG7" s="82"/>
    </x:row>
    <x:row r="8">
      <x:c r="A8" s="82"/>
      <x:c r="B8" s="82"/>
      <x:c r="C8" s="82"/>
      <x:c r="D8" s="82"/>
      <x:c r="E8" s="82"/>
      <x:c r="F8" s="82"/>
      <x:c r="G8" s="82"/>
      <x:c r="H8" s="82"/>
      <x:c r="I8" s="82"/>
      <x:c r="J8" s="82"/>
      <x:c r="K8" s="82"/>
      <x:c r="L8" s="82"/>
      <x:c r="M8" s="82"/>
      <x:c r="N8" s="82"/>
      <x:c r="O8" s="82"/>
      <x:c r="P8" s="82"/>
      <x:c r="Q8" s="84" t="str">
        <x:f>IFERROR((COUNTIF(H8:P8,"☑ Implémenté")+COUNTIF(H8:P8,"☑ Oui")+0.5*COUNTIF(H8:P8,"◐ Partiel"))/(COUNTIF(H8:P8,"☑ Implémenté")+COUNTIF(H8:P8,"☑ Oui")+COUNTIF(H8:P8,"◐ Partiel")+COUNTIF(H8:P8,"☐ Non implémenté")+COUNTIF(H8:P8,"☐ Non")),"")</x:f>
      </x:c>
      <x:c r="R8" s="82"/>
      <x:c r="S8" s="82"/>
      <x:c r="T8" s="82"/>
      <x:c r="U8" s="82"/>
      <x:c r="V8" s="84" t="str">
        <x:f>IFERROR((COUNTIF(R8:U8,"☑ Implémenté")+COUNTIF(R8:U8,"☑ Oui")+0.5*COUNTIF(R8:U8,"◐ Partiel"))/(COUNTIF(R8:U8,"☑ Implémenté")+COUNTIF(R8:U8,"☑ Oui")+COUNTIF(R8:U8,"◐ Partiel")+COUNTIF(R8:U8,"☐ Non implémenté")+COUNTIF(R8:U8,"☐ Non")),"")</x:f>
      </x:c>
      <x:c r="W8" s="82"/>
      <x:c r="X8" s="82"/>
      <x:c r="Y8" s="84" t="str">
        <x:f>IFERROR((COUNTIF(W8:X8,"☑ Implémenté")+COUNTIF(W8:X8,"☑ Oui")+0.5*COUNTIF(W8:X8,"◐ Partiel"))/(COUNTIF(W8:X8,"☑ Implémenté")+COUNTIF(W8:X8,"☑ Oui")+COUNTIF(W8:X8,"◐ Partiel")+COUNTIF(W8:X8,"☐ Non implémenté")+COUNTIF(W8:X8,"☐ Non")),"")</x:f>
      </x:c>
      <x:c r="Z8" s="82"/>
      <x:c r="AA8" s="82"/>
      <x:c r="AB8" s="82"/>
      <x:c r="AC8" s="82"/>
      <x:c r="AD8" s="82"/>
      <x:c r="AE8" s="82"/>
      <x:c r="AF8" s="82"/>
      <x:c r="AG8" s="84"/>
      <x:c r="AH8" s="82"/>
      <x:c r="AI8" s="82"/>
      <x:c r="AJ8" s="82"/>
      <x:c r="AK8" s="82"/>
      <x:c r="AL8" s="82"/>
      <x:c r="AM8" s="82"/>
      <x:c r="AN8" s="82"/>
      <x:c r="AO8" s="82"/>
      <x:c r="AP8" s="82"/>
      <x:c r="AQ8" s="82"/>
      <x:c r="AR8" s="82"/>
      <x:c r="AS8" s="82"/>
      <x:c r="AT8" s="82"/>
      <x:c r="AU8" s="82"/>
      <x:c r="AV8" s="82"/>
      <x:c r="AW8" s="82"/>
      <x:c r="AX8" s="82"/>
      <x:c r="AY8" s="82"/>
      <x:c r="AZ8" s="82"/>
      <x:c r="BA8" s="82"/>
      <x:c r="BB8" s="82"/>
      <x:c r="BC8" s="82"/>
      <x:c r="BD8" s="84" t="str">
        <x:f>IFERROR((COUNTIF(AZ8:BC8,"☑ Implémenté")+COUNTIF(AZ8:BC8,"☑ Oui")+0.5*COUNTIF(AZ8:BC8,"◐ Partiel"))/(COUNTIF(AZ8:BC8,"☑ Implémenté")+COUNTIF(AZ8:BC8,"☑ Oui")+COUNTIF(AZ8:BC8,"◐ Partiel")+COUNTIF(AZ8:BC8,"☐ Non implémenté")+COUNTIF(AZ8:BC8,"☐ Non")),"")</x:f>
      </x:c>
      <x:c r="BE8" s="84" t="str">
        <x:f>IFERROR((COUNTIF(H8:BD8,"☑ Implémenté")+COUNTIF(H8:BD8,"☑ Oui")+COUNTIF(H8:BD8,"DevOpsFundation")+0.5*COUNTIF(H8:BD8,"◐ Partiel"))/(COUNTIF(H8:BD8,"☑ Implémenté")+COUNTIF(H8:BD8,"☑ Oui")+COUNTIF(H8:BD8,"DevOpsFundation")+COUNTIF(H8:BD8,"◐ Partiel")+COUNTIF(H8:BD8,"☐ Non implémenté")+COUNTIF(H8:BD8,"☐ Non")),"")</x:f>
      </x:c>
      <x:c r="BF8" s="82" t="str">
        <x:f>IF(B8="","",COUNTIF(H8:BD8,"☐ Non implémenté")+COUNTIF(H8:BD8,"☐ Non")+COUNTIF(H8:BD8,"◐ Partiel"))</x:f>
      </x:c>
      <x:c r="BG8" s="82"/>
    </x:row>
    <x:row r="9">
      <x:c r="A9" s="82"/>
      <x:c r="B9" s="82"/>
      <x:c r="C9" s="82"/>
      <x:c r="D9" s="82"/>
      <x:c r="E9" s="82"/>
      <x:c r="F9" s="82"/>
      <x:c r="G9" s="82"/>
      <x:c r="H9" s="82"/>
      <x:c r="I9" s="82"/>
      <x:c r="J9" s="82"/>
      <x:c r="K9" s="82"/>
      <x:c r="L9" s="82"/>
      <x:c r="M9" s="82"/>
      <x:c r="N9" s="82"/>
      <x:c r="O9" s="82"/>
      <x:c r="P9" s="82"/>
      <x:c r="Q9" s="84" t="str">
        <x:f>IFERROR((COUNTIF(H9:P9,"☑ Implémenté")+COUNTIF(H9:P9,"☑ Oui")+0.5*COUNTIF(H9:P9,"◐ Partiel"))/(COUNTIF(H9:P9,"☑ Implémenté")+COUNTIF(H9:P9,"☑ Oui")+COUNTIF(H9:P9,"◐ Partiel")+COUNTIF(H9:P9,"☐ Non implémenté")+COUNTIF(H9:P9,"☐ Non")),"")</x:f>
      </x:c>
      <x:c r="R9" s="82"/>
      <x:c r="S9" s="82"/>
      <x:c r="T9" s="82"/>
      <x:c r="U9" s="82"/>
      <x:c r="V9" s="84" t="str">
        <x:f>IFERROR((COUNTIF(R9:U9,"☑ Implémenté")+COUNTIF(R9:U9,"☑ Oui")+0.5*COUNTIF(R9:U9,"◐ Partiel"))/(COUNTIF(R9:U9,"☑ Implémenté")+COUNTIF(R9:U9,"☑ Oui")+COUNTIF(R9:U9,"◐ Partiel")+COUNTIF(R9:U9,"☐ Non implémenté")+COUNTIF(R9:U9,"☐ Non")),"")</x:f>
      </x:c>
      <x:c r="W9" s="82"/>
      <x:c r="X9" s="82"/>
      <x:c r="Y9" s="84" t="str">
        <x:f>IFERROR((COUNTIF(W9:X9,"☑ Implémenté")+COUNTIF(W9:X9,"☑ Oui")+0.5*COUNTIF(W9:X9,"◐ Partiel"))/(COUNTIF(W9:X9,"☑ Implémenté")+COUNTIF(W9:X9,"☑ Oui")+COUNTIF(W9:X9,"◐ Partiel")+COUNTIF(W9:X9,"☐ Non implémenté")+COUNTIF(W9:X9,"☐ Non")),"")</x:f>
      </x:c>
      <x:c r="Z9" s="82"/>
      <x:c r="AA9" s="82"/>
      <x:c r="AB9" s="82"/>
      <x:c r="AC9" s="82"/>
      <x:c r="AD9" s="82"/>
      <x:c r="AE9" s="82"/>
      <x:c r="AF9" s="82"/>
      <x:c r="AG9" s="84"/>
      <x:c r="AH9" s="82"/>
      <x:c r="AI9" s="82"/>
      <x:c r="AJ9" s="82"/>
      <x:c r="AK9" s="82"/>
      <x:c r="AL9" s="82"/>
      <x:c r="AM9" s="82"/>
      <x:c r="AN9" s="82"/>
      <x:c r="AO9" s="82"/>
      <x:c r="AP9" s="82"/>
      <x:c r="AQ9" s="82"/>
      <x:c r="AR9" s="82"/>
      <x:c r="AS9" s="82"/>
      <x:c r="AT9" s="82"/>
      <x:c r="AU9" s="82"/>
      <x:c r="AV9" s="82"/>
      <x:c r="AW9" s="82"/>
      <x:c r="AX9" s="82"/>
      <x:c r="AY9" s="82"/>
      <x:c r="AZ9" s="82"/>
      <x:c r="BA9" s="82"/>
      <x:c r="BB9" s="82"/>
      <x:c r="BC9" s="82"/>
      <x:c r="BD9" s="84" t="str">
        <x:f>IFERROR((COUNTIF(AZ9:BC9,"☑ Implémenté")+COUNTIF(AZ9:BC9,"☑ Oui")+0.5*COUNTIF(AZ9:BC9,"◐ Partiel"))/(COUNTIF(AZ9:BC9,"☑ Implémenté")+COUNTIF(AZ9:BC9,"☑ Oui")+COUNTIF(AZ9:BC9,"◐ Partiel")+COUNTIF(AZ9:BC9,"☐ Non implémenté")+COUNTIF(AZ9:BC9,"☐ Non")),"")</x:f>
      </x:c>
      <x:c r="BE9" s="84" t="str">
        <x:f>IFERROR((COUNTIF(H9:BD9,"☑ Implémenté")+COUNTIF(H9:BD9,"☑ Oui")+COUNTIF(H9:BD9,"DevOpsFundation")+0.5*COUNTIF(H9:BD9,"◐ Partiel"))/(COUNTIF(H9:BD9,"☑ Implémenté")+COUNTIF(H9:BD9,"☑ Oui")+COUNTIF(H9:BD9,"DevOpsFundation")+COUNTIF(H9:BD9,"◐ Partiel")+COUNTIF(H9:BD9,"☐ Non implémenté")+COUNTIF(H9:BD9,"☐ Non")),"")</x:f>
      </x:c>
      <x:c r="BF9" s="82" t="str">
        <x:f>IF(B9="","",COUNTIF(H9:BD9,"☐ Non implémenté")+COUNTIF(H9:BD9,"☐ Non")+COUNTIF(H9:BD9,"◐ Partiel"))</x:f>
      </x:c>
      <x:c r="BG9" s="82"/>
    </x:row>
    <x:row r="10">
      <x:c r="A10" s="82"/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2"/>
      <x:c r="P10" s="82"/>
      <x:c r="Q10" s="84" t="str">
        <x:f>IFERROR((COUNTIF(H10:P10,"☑ Implémenté")+COUNTIF(H10:P10,"☑ Oui")+0.5*COUNTIF(H10:P10,"◐ Partiel"))/(COUNTIF(H10:P10,"☑ Implémenté")+COUNTIF(H10:P10,"☑ Oui")+COUNTIF(H10:P10,"◐ Partiel")+COUNTIF(H10:P10,"☐ Non implémenté")+COUNTIF(H10:P10,"☐ Non")),"")</x:f>
      </x:c>
      <x:c r="R10" s="82"/>
      <x:c r="S10" s="82"/>
      <x:c r="T10" s="82"/>
      <x:c r="U10" s="82"/>
      <x:c r="V10" s="84" t="str">
        <x:f>IFERROR((COUNTIF(R10:U10,"☑ Implémenté")+COUNTIF(R10:U10,"☑ Oui")+0.5*COUNTIF(R10:U10,"◐ Partiel"))/(COUNTIF(R10:U10,"☑ Implémenté")+COUNTIF(R10:U10,"☑ Oui")+COUNTIF(R10:U10,"◐ Partiel")+COUNTIF(R10:U10,"☐ Non implémenté")+COUNTIF(R10:U10,"☐ Non")),"")</x:f>
      </x:c>
      <x:c r="W10" s="82"/>
      <x:c r="X10" s="82"/>
      <x:c r="Y10" s="84" t="str">
        <x:f>IFERROR((COUNTIF(W10:X10,"☑ Implémenté")+COUNTIF(W10:X10,"☑ Oui")+0.5*COUNTIF(W10:X10,"◐ Partiel"))/(COUNTIF(W10:X10,"☑ Implémenté")+COUNTIF(W10:X10,"☑ Oui")+COUNTIF(W10:X10,"◐ Partiel")+COUNTIF(W10:X10,"☐ Non implémenté")+COUNTIF(W10:X10,"☐ Non")),"")</x:f>
      </x:c>
      <x:c r="Z10" s="82"/>
      <x:c r="AA10" s="82"/>
      <x:c r="AB10" s="82"/>
      <x:c r="AC10" s="82"/>
      <x:c r="AD10" s="82"/>
      <x:c r="AE10" s="82"/>
      <x:c r="AF10" s="82"/>
      <x:c r="AG10" s="84"/>
      <x:c r="AH10" s="82"/>
      <x:c r="AI10" s="82"/>
      <x:c r="AJ10" s="82"/>
      <x:c r="AK10" s="82"/>
      <x:c r="AL10" s="82"/>
      <x:c r="AM10" s="82"/>
      <x:c r="AN10" s="82"/>
      <x:c r="AO10" s="82"/>
      <x:c r="AP10" s="82"/>
      <x:c r="AQ10" s="82"/>
      <x:c r="AR10" s="82"/>
      <x:c r="AS10" s="82"/>
      <x:c r="AT10" s="82"/>
      <x:c r="AU10" s="82"/>
      <x:c r="AV10" s="82"/>
      <x:c r="AW10" s="82"/>
      <x:c r="AX10" s="82"/>
      <x:c r="AY10" s="82"/>
      <x:c r="AZ10" s="82"/>
      <x:c r="BA10" s="82"/>
      <x:c r="BB10" s="82"/>
      <x:c r="BC10" s="82"/>
      <x:c r="BD10" s="84" t="str">
        <x:f>IFERROR((COUNTIF(AZ10:BC10,"☑ Implémenté")+COUNTIF(AZ10:BC10,"☑ Oui")+0.5*COUNTIF(AZ10:BC10,"◐ Partiel"))/(COUNTIF(AZ10:BC10,"☑ Implémenté")+COUNTIF(AZ10:BC10,"☑ Oui")+COUNTIF(AZ10:BC10,"◐ Partiel")+COUNTIF(AZ10:BC10,"☐ Non implémenté")+COUNTIF(AZ10:BC10,"☐ Non")),"")</x:f>
      </x:c>
      <x:c r="BE10" s="84" t="str">
        <x:f>IFERROR((COUNTIF(H10:BD10,"☑ Implémenté")+COUNTIF(H10:BD10,"☑ Oui")+COUNTIF(H10:BD10,"DevOpsFundation")+0.5*COUNTIF(H10:BD10,"◐ Partiel"))/(COUNTIF(H10:BD10,"☑ Implémenté")+COUNTIF(H10:BD10,"☑ Oui")+COUNTIF(H10:BD10,"DevOpsFundation")+COUNTIF(H10:BD10,"◐ Partiel")+COUNTIF(H10:BD10,"☐ Non implémenté")+COUNTIF(H10:BD10,"☐ Non")),"")</x:f>
      </x:c>
      <x:c r="BF10" s="82" t="str">
        <x:f>IF(B10="","",COUNTIF(H10:BD10,"☐ Non implémenté")+COUNTIF(H10:BD10,"☐ Non")+COUNTIF(H10:BD10,"◐ Partiel"))</x:f>
      </x:c>
      <x:c r="BG10" s="82"/>
    </x:row>
    <x:row r="11">
      <x:c r="A11" s="82"/>
      <x:c r="B11" s="82"/>
      <x:c r="C11" s="82"/>
      <x:c r="D11" s="82"/>
      <x:c r="E11" s="82"/>
      <x:c r="F11" s="82"/>
      <x:c r="G11" s="82"/>
      <x:c r="H11" s="82"/>
      <x:c r="I11" s="82"/>
      <x:c r="J11" s="82"/>
      <x:c r="K11" s="82"/>
      <x:c r="L11" s="82"/>
      <x:c r="M11" s="82"/>
      <x:c r="N11" s="82"/>
      <x:c r="O11" s="82"/>
      <x:c r="P11" s="82"/>
      <x:c r="Q11" s="84" t="str">
        <x:f>IFERROR((COUNTIF(H11:P11,"☑ Implémenté")+COUNTIF(H11:P11,"☑ Oui")+0.5*COUNTIF(H11:P11,"◐ Partiel"))/(COUNTIF(H11:P11,"☑ Implémenté")+COUNTIF(H11:P11,"☑ Oui")+COUNTIF(H11:P11,"◐ Partiel")+COUNTIF(H11:P11,"☐ Non implémenté")+COUNTIF(H11:P11,"☐ Non")),"")</x:f>
      </x:c>
      <x:c r="R11" s="82"/>
      <x:c r="S11" s="82"/>
      <x:c r="T11" s="82"/>
      <x:c r="U11" s="82"/>
      <x:c r="V11" s="84" t="str">
        <x:f>IFERROR((COUNTIF(R11:U11,"☑ Implémenté")+COUNTIF(R11:U11,"☑ Oui")+0.5*COUNTIF(R11:U11,"◐ Partiel"))/(COUNTIF(R11:U11,"☑ Implémenté")+COUNTIF(R11:U11,"☑ Oui")+COUNTIF(R11:U11,"◐ Partiel")+COUNTIF(R11:U11,"☐ Non implémenté")+COUNTIF(R11:U11,"☐ Non")),"")</x:f>
      </x:c>
      <x:c r="W11" s="82"/>
      <x:c r="X11" s="82"/>
      <x:c r="Y11" s="84" t="str">
        <x:f>IFERROR((COUNTIF(W11:X11,"☑ Implémenté")+COUNTIF(W11:X11,"☑ Oui")+0.5*COUNTIF(W11:X11,"◐ Partiel"))/(COUNTIF(W11:X11,"☑ Implémenté")+COUNTIF(W11:X11,"☑ Oui")+COUNTIF(W11:X11,"◐ Partiel")+COUNTIF(W11:X11,"☐ Non implémenté")+COUNTIF(W11:X11,"☐ Non")),"")</x:f>
      </x:c>
      <x:c r="Z11" s="82"/>
      <x:c r="AA11" s="82"/>
      <x:c r="AB11" s="82"/>
      <x:c r="AC11" s="82"/>
      <x:c r="AD11" s="82"/>
      <x:c r="AE11" s="82"/>
      <x:c r="AF11" s="82"/>
      <x:c r="AG11" s="84"/>
      <x:c r="AH11" s="82"/>
      <x:c r="AI11" s="82"/>
      <x:c r="AJ11" s="82"/>
      <x:c r="AK11" s="82"/>
      <x:c r="AL11" s="82"/>
      <x:c r="AM11" s="82"/>
      <x:c r="AN11" s="82"/>
      <x:c r="AO11" s="82"/>
      <x:c r="AP11" s="82"/>
      <x:c r="AQ11" s="82"/>
      <x:c r="AR11" s="82"/>
      <x:c r="AS11" s="82"/>
      <x:c r="AT11" s="82"/>
      <x:c r="AU11" s="82"/>
      <x:c r="AV11" s="82"/>
      <x:c r="AW11" s="82"/>
      <x:c r="AX11" s="82"/>
      <x:c r="AY11" s="82"/>
      <x:c r="AZ11" s="82"/>
      <x:c r="BA11" s="82"/>
      <x:c r="BB11" s="82"/>
      <x:c r="BC11" s="82"/>
      <x:c r="BD11" s="84" t="str">
        <x:f>IFERROR((COUNTIF(AZ11:BC11,"☑ Implémenté")+COUNTIF(AZ11:BC11,"☑ Oui")+0.5*COUNTIF(AZ11:BC11,"◐ Partiel"))/(COUNTIF(AZ11:BC11,"☑ Implémenté")+COUNTIF(AZ11:BC11,"☑ Oui")+COUNTIF(AZ11:BC11,"◐ Partiel")+COUNTIF(AZ11:BC11,"☐ Non implémenté")+COUNTIF(AZ11:BC11,"☐ Non")),"")</x:f>
      </x:c>
      <x:c r="BE11" s="84" t="str">
        <x:f>IFERROR((COUNTIF(H11:BD11,"☑ Implémenté")+COUNTIF(H11:BD11,"☑ Oui")+COUNTIF(H11:BD11,"DevOpsFundation")+0.5*COUNTIF(H11:BD11,"◐ Partiel"))/(COUNTIF(H11:BD11,"☑ Implémenté")+COUNTIF(H11:BD11,"☑ Oui")+COUNTIF(H11:BD11,"DevOpsFundation")+COUNTIF(H11:BD11,"◐ Partiel")+COUNTIF(H11:BD11,"☐ Non implémenté")+COUNTIF(H11:BD11,"☐ Non")),"")</x:f>
      </x:c>
      <x:c r="BF11" s="82" t="str">
        <x:f>IF(B11="","",COUNTIF(H11:BD11,"☐ Non implémenté")+COUNTIF(H11:BD11,"☐ Non")+COUNTIF(H11:BD11,"◐ Partiel"))</x:f>
      </x:c>
      <x:c r="BG11" s="82"/>
    </x:row>
    <x:row r="12">
      <x:c r="A12" s="82"/>
      <x:c r="B12" s="82"/>
      <x:c r="C12" s="82"/>
      <x:c r="D12" s="82"/>
      <x:c r="E12" s="82"/>
      <x:c r="F12" s="82"/>
      <x:c r="G12" s="82"/>
      <x:c r="H12" s="82"/>
      <x:c r="I12" s="82"/>
      <x:c r="J12" s="82"/>
      <x:c r="K12" s="82"/>
      <x:c r="L12" s="82"/>
      <x:c r="M12" s="82"/>
      <x:c r="N12" s="82"/>
      <x:c r="O12" s="82"/>
      <x:c r="P12" s="82"/>
      <x:c r="Q12" s="84" t="str">
        <x:f>IFERROR((COUNTIF(H12:P12,"☑ Implémenté")+COUNTIF(H12:P12,"☑ Oui")+0.5*COUNTIF(H12:P12,"◐ Partiel"))/(COUNTIF(H12:P12,"☑ Implémenté")+COUNTIF(H12:P12,"☑ Oui")+COUNTIF(H12:P12,"◐ Partiel")+COUNTIF(H12:P12,"☐ Non implémenté")+COUNTIF(H12:P12,"☐ Non")),"")</x:f>
      </x:c>
      <x:c r="R12" s="82"/>
      <x:c r="S12" s="82"/>
      <x:c r="T12" s="82"/>
      <x:c r="U12" s="82"/>
      <x:c r="V12" s="84" t="str">
        <x:f>IFERROR((COUNTIF(R12:U12,"☑ Implémenté")+COUNTIF(R12:U12,"☑ Oui")+0.5*COUNTIF(R12:U12,"◐ Partiel"))/(COUNTIF(R12:U12,"☑ Implémenté")+COUNTIF(R12:U12,"☑ Oui")+COUNTIF(R12:U12,"◐ Partiel")+COUNTIF(R12:U12,"☐ Non implémenté")+COUNTIF(R12:U12,"☐ Non")),"")</x:f>
      </x:c>
      <x:c r="W12" s="82"/>
      <x:c r="X12" s="82"/>
      <x:c r="Y12" s="84" t="str">
        <x:f>IFERROR((COUNTIF(W12:X12,"☑ Implémenté")+COUNTIF(W12:X12,"☑ Oui")+0.5*COUNTIF(W12:X12,"◐ Partiel"))/(COUNTIF(W12:X12,"☑ Implémenté")+COUNTIF(W12:X12,"☑ Oui")+COUNTIF(W12:X12,"◐ Partiel")+COUNTIF(W12:X12,"☐ Non implémenté")+COUNTIF(W12:X12,"☐ Non")),"")</x:f>
      </x:c>
      <x:c r="Z12" s="82"/>
      <x:c r="AA12" s="82"/>
      <x:c r="AB12" s="82"/>
      <x:c r="AC12" s="82"/>
      <x:c r="AD12" s="82"/>
      <x:c r="AE12" s="82"/>
      <x:c r="AF12" s="82"/>
      <x:c r="AG12" s="84"/>
      <x:c r="AH12" s="82"/>
      <x:c r="AI12" s="82"/>
      <x:c r="AJ12" s="82"/>
      <x:c r="AK12" s="82"/>
      <x:c r="AL12" s="82"/>
      <x:c r="AM12" s="82"/>
      <x:c r="AN12" s="82"/>
      <x:c r="AO12" s="82"/>
      <x:c r="AP12" s="82"/>
      <x:c r="AQ12" s="82"/>
      <x:c r="AR12" s="82"/>
      <x:c r="AS12" s="82"/>
      <x:c r="AT12" s="82"/>
      <x:c r="AU12" s="82"/>
      <x:c r="AV12" s="82"/>
      <x:c r="AW12" s="82"/>
      <x:c r="AX12" s="82"/>
      <x:c r="AY12" s="82"/>
      <x:c r="AZ12" s="82"/>
      <x:c r="BA12" s="82"/>
      <x:c r="BB12" s="82"/>
      <x:c r="BC12" s="82"/>
      <x:c r="BD12" s="84" t="str">
        <x:f>IFERROR((COUNTIF(AZ12:BC12,"☑ Implémenté")+COUNTIF(AZ12:BC12,"☑ Oui")+0.5*COUNTIF(AZ12:BC12,"◐ Partiel"))/(COUNTIF(AZ12:BC12,"☑ Implémenté")+COUNTIF(AZ12:BC12,"☑ Oui")+COUNTIF(AZ12:BC12,"◐ Partiel")+COUNTIF(AZ12:BC12,"☐ Non implémenté")+COUNTIF(AZ12:BC12,"☐ Non")),"")</x:f>
      </x:c>
      <x:c r="BE12" s="84" t="str">
        <x:f>IFERROR((COUNTIF(H12:BD12,"☑ Implémenté")+COUNTIF(H12:BD12,"☑ Oui")+COUNTIF(H12:BD12,"DevOpsFundation")+0.5*COUNTIF(H12:BD12,"◐ Partiel"))/(COUNTIF(H12:BD12,"☑ Implémenté")+COUNTIF(H12:BD12,"☑ Oui")+COUNTIF(H12:BD12,"DevOpsFundation")+COUNTIF(H12:BD12,"◐ Partiel")+COUNTIF(H12:BD12,"☐ Non implémenté")+COUNTIF(H12:BD12,"☐ Non")),"")</x:f>
      </x:c>
      <x:c r="BF12" s="82" t="str">
        <x:f>IF(B12="","",COUNTIF(H12:BD12,"☐ Non implémenté")+COUNTIF(H12:BD12,"☐ Non")+COUNTIF(H12:BD12,"◐ Partiel"))</x:f>
      </x:c>
      <x:c r="BG12" s="82"/>
    </x:row>
    <x:row r="13">
      <x:c r="A13" s="82"/>
      <x:c r="B13" s="82"/>
      <x:c r="C13" s="82"/>
      <x:c r="D13" s="82"/>
      <x:c r="E13" s="82"/>
      <x:c r="F13" s="82"/>
      <x:c r="G13" s="82"/>
      <x:c r="H13" s="82"/>
      <x:c r="I13" s="82"/>
      <x:c r="J13" s="82"/>
      <x:c r="K13" s="82"/>
      <x:c r="L13" s="82"/>
      <x:c r="M13" s="82"/>
      <x:c r="N13" s="82"/>
      <x:c r="O13" s="82"/>
      <x:c r="P13" s="82"/>
      <x:c r="Q13" s="84" t="str">
        <x:f>IFERROR((COUNTIF(H13:P13,"☑ Implémenté")+COUNTIF(H13:P13,"☑ Oui")+0.5*COUNTIF(H13:P13,"◐ Partiel"))/(COUNTIF(H13:P13,"☑ Implémenté")+COUNTIF(H13:P13,"☑ Oui")+COUNTIF(H13:P13,"◐ Partiel")+COUNTIF(H13:P13,"☐ Non implémenté")+COUNTIF(H13:P13,"☐ Non")),"")</x:f>
      </x:c>
      <x:c r="R13" s="82"/>
      <x:c r="S13" s="82"/>
      <x:c r="T13" s="82"/>
      <x:c r="U13" s="82"/>
      <x:c r="V13" s="84" t="str">
        <x:f>IFERROR((COUNTIF(R13:U13,"☑ Implémenté")+COUNTIF(R13:U13,"☑ Oui")+0.5*COUNTIF(R13:U13,"◐ Partiel"))/(COUNTIF(R13:U13,"☑ Implémenté")+COUNTIF(R13:U13,"☑ Oui")+COUNTIF(R13:U13,"◐ Partiel")+COUNTIF(R13:U13,"☐ Non implémenté")+COUNTIF(R13:U13,"☐ Non")),"")</x:f>
      </x:c>
      <x:c r="W13" s="82"/>
      <x:c r="X13" s="82"/>
      <x:c r="Y13" s="84" t="str">
        <x:f>IFERROR((COUNTIF(W13:X13,"☑ Implémenté")+COUNTIF(W13:X13,"☑ Oui")+0.5*COUNTIF(W13:X13,"◐ Partiel"))/(COUNTIF(W13:X13,"☑ Implémenté")+COUNTIF(W13:X13,"☑ Oui")+COUNTIF(W13:X13,"◐ Partiel")+COUNTIF(W13:X13,"☐ Non implémenté")+COUNTIF(W13:X13,"☐ Non")),"")</x:f>
      </x:c>
      <x:c r="Z13" s="82"/>
      <x:c r="AA13" s="82"/>
      <x:c r="AB13" s="82"/>
      <x:c r="AC13" s="82"/>
      <x:c r="AD13" s="82"/>
      <x:c r="AE13" s="82"/>
      <x:c r="AF13" s="82"/>
      <x:c r="AG13" s="84"/>
      <x:c r="AH13" s="82"/>
      <x:c r="AI13" s="82"/>
      <x:c r="AJ13" s="82"/>
      <x:c r="AK13" s="82"/>
      <x:c r="AL13" s="82"/>
      <x:c r="AM13" s="82"/>
      <x:c r="AN13" s="82"/>
      <x:c r="AO13" s="82"/>
      <x:c r="AP13" s="82"/>
      <x:c r="AQ13" s="82"/>
      <x:c r="AR13" s="82"/>
      <x:c r="AS13" s="82"/>
      <x:c r="AT13" s="82"/>
      <x:c r="AU13" s="82"/>
      <x:c r="AV13" s="82"/>
      <x:c r="AW13" s="82"/>
      <x:c r="AX13" s="82"/>
      <x:c r="AY13" s="82"/>
      <x:c r="AZ13" s="82"/>
      <x:c r="BA13" s="82"/>
      <x:c r="BB13" s="82"/>
      <x:c r="BC13" s="82"/>
      <x:c r="BD13" s="84" t="str">
        <x:f>IFERROR((COUNTIF(AZ13:BC13,"☑ Implémenté")+COUNTIF(AZ13:BC13,"☑ Oui")+0.5*COUNTIF(AZ13:BC13,"◐ Partiel"))/(COUNTIF(AZ13:BC13,"☑ Implémenté")+COUNTIF(AZ13:BC13,"☑ Oui")+COUNTIF(AZ13:BC13,"◐ Partiel")+COUNTIF(AZ13:BC13,"☐ Non implémenté")+COUNTIF(AZ13:BC13,"☐ Non")),"")</x:f>
      </x:c>
      <x:c r="BE13" s="84" t="str">
        <x:f>IFERROR((COUNTIF(H13:BD13,"☑ Implémenté")+COUNTIF(H13:BD13,"☑ Oui")+COUNTIF(H13:BD13,"DevOpsFundation")+0.5*COUNTIF(H13:BD13,"◐ Partiel"))/(COUNTIF(H13:BD13,"☑ Implémenté")+COUNTIF(H13:BD13,"☑ Oui")+COUNTIF(H13:BD13,"DevOpsFundation")+COUNTIF(H13:BD13,"◐ Partiel")+COUNTIF(H13:BD13,"☐ Non implémenté")+COUNTIF(H13:BD13,"☐ Non")),"")</x:f>
      </x:c>
      <x:c r="BF13" s="82" t="str">
        <x:f>IF(B13="","",COUNTIF(H13:BD13,"☐ Non implémenté")+COUNTIF(H13:BD13,"☐ Non")+COUNTIF(H13:BD13,"◐ Partiel"))</x:f>
      </x:c>
      <x:c r="BG13" s="82"/>
    </x:row>
    <x:row r="14">
      <x:c r="A14" s="82"/>
      <x:c r="B14" s="82"/>
      <x:c r="C14" s="82"/>
      <x:c r="D14" s="82"/>
      <x:c r="E14" s="82"/>
      <x:c r="F14" s="82"/>
      <x:c r="G14" s="82"/>
      <x:c r="H14" s="82"/>
      <x:c r="I14" s="82"/>
      <x:c r="J14" s="82"/>
      <x:c r="K14" s="82"/>
      <x:c r="L14" s="82"/>
      <x:c r="M14" s="82"/>
      <x:c r="N14" s="82"/>
      <x:c r="O14" s="82"/>
      <x:c r="P14" s="82"/>
      <x:c r="Q14" s="84" t="str">
        <x:f>IFERROR((COUNTIF(H14:P14,"☑ Implémenté")+COUNTIF(H14:P14,"☑ Oui")+0.5*COUNTIF(H14:P14,"◐ Partiel"))/(COUNTIF(H14:P14,"☑ Implémenté")+COUNTIF(H14:P14,"☑ Oui")+COUNTIF(H14:P14,"◐ Partiel")+COUNTIF(H14:P14,"☐ Non implémenté")+COUNTIF(H14:P14,"☐ Non")),"")</x:f>
      </x:c>
      <x:c r="R14" s="82"/>
      <x:c r="S14" s="82"/>
      <x:c r="T14" s="82"/>
      <x:c r="U14" s="82"/>
      <x:c r="V14" s="84" t="str">
        <x:f>IFERROR((COUNTIF(R14:U14,"☑ Implémenté")+COUNTIF(R14:U14,"☑ Oui")+0.5*COUNTIF(R14:U14,"◐ Partiel"))/(COUNTIF(R14:U14,"☑ Implémenté")+COUNTIF(R14:U14,"☑ Oui")+COUNTIF(R14:U14,"◐ Partiel")+COUNTIF(R14:U14,"☐ Non implémenté")+COUNTIF(R14:U14,"☐ Non")),"")</x:f>
      </x:c>
      <x:c r="W14" s="82"/>
      <x:c r="X14" s="82"/>
      <x:c r="Y14" s="84" t="str">
        <x:f>IFERROR((COUNTIF(W14:X14,"☑ Implémenté")+COUNTIF(W14:X14,"☑ Oui")+0.5*COUNTIF(W14:X14,"◐ Partiel"))/(COUNTIF(W14:X14,"☑ Implémenté")+COUNTIF(W14:X14,"☑ Oui")+COUNTIF(W14:X14,"◐ Partiel")+COUNTIF(W14:X14,"☐ Non implémenté")+COUNTIF(W14:X14,"☐ Non")),"")</x:f>
      </x:c>
      <x:c r="Z14" s="82"/>
      <x:c r="AA14" s="82"/>
      <x:c r="AB14" s="82"/>
      <x:c r="AC14" s="82"/>
      <x:c r="AD14" s="82"/>
      <x:c r="AE14" s="82"/>
      <x:c r="AF14" s="82"/>
      <x:c r="AG14" s="84"/>
      <x:c r="AH14" s="82"/>
      <x:c r="AI14" s="82"/>
      <x:c r="AJ14" s="82"/>
      <x:c r="AK14" s="82"/>
      <x:c r="AL14" s="82"/>
      <x:c r="AM14" s="82"/>
      <x:c r="AN14" s="82"/>
      <x:c r="AO14" s="82"/>
      <x:c r="AP14" s="82"/>
      <x:c r="AQ14" s="82"/>
      <x:c r="AR14" s="82"/>
      <x:c r="AS14" s="82"/>
      <x:c r="AT14" s="82"/>
      <x:c r="AU14" s="82"/>
      <x:c r="AV14" s="82"/>
      <x:c r="AW14" s="82"/>
      <x:c r="AX14" s="82"/>
      <x:c r="AY14" s="82"/>
      <x:c r="AZ14" s="82"/>
      <x:c r="BA14" s="82"/>
      <x:c r="BB14" s="82"/>
      <x:c r="BC14" s="82"/>
      <x:c r="BD14" s="84" t="str">
        <x:f>IFERROR((COUNTIF(AZ14:BC14,"☑ Implémenté")+COUNTIF(AZ14:BC14,"☑ Oui")+0.5*COUNTIF(AZ14:BC14,"◐ Partiel"))/(COUNTIF(AZ14:BC14,"☑ Implémenté")+COUNTIF(AZ14:BC14,"☑ Oui")+COUNTIF(AZ14:BC14,"◐ Partiel")+COUNTIF(AZ14:BC14,"☐ Non implémenté")+COUNTIF(AZ14:BC14,"☐ Non")),"")</x:f>
      </x:c>
      <x:c r="BE14" s="84" t="str">
        <x:f>IFERROR((COUNTIF(H14:BD14,"☑ Implémenté")+COUNTIF(H14:BD14,"☑ Oui")+COUNTIF(H14:BD14,"DevOpsFundation")+0.5*COUNTIF(H14:BD14,"◐ Partiel"))/(COUNTIF(H14:BD14,"☑ Implémenté")+COUNTIF(H14:BD14,"☑ Oui")+COUNTIF(H14:BD14,"DevOpsFundation")+COUNTIF(H14:BD14,"◐ Partiel")+COUNTIF(H14:BD14,"☐ Non implémenté")+COUNTIF(H14:BD14,"☐ Non")),"")</x:f>
      </x:c>
      <x:c r="BF14" s="82" t="str">
        <x:f>IF(B14="","",COUNTIF(H14:BD14,"☐ Non implémenté")+COUNTIF(H14:BD14,"☐ Non")+COUNTIF(H14:BD14,"◐ Partiel"))</x:f>
      </x:c>
      <x:c r="BG14" s="82"/>
    </x:row>
    <x:row r="15">
      <x:c r="A15" s="82"/>
      <x:c r="B15" s="82"/>
      <x:c r="C15" s="82"/>
      <x:c r="D15" s="82"/>
      <x:c r="E15" s="82"/>
      <x:c r="F15" s="82"/>
      <x:c r="G15" s="82"/>
      <x:c r="H15" s="82"/>
      <x:c r="I15" s="82"/>
      <x:c r="J15" s="82"/>
      <x:c r="K15" s="82"/>
      <x:c r="L15" s="82"/>
      <x:c r="M15" s="82"/>
      <x:c r="N15" s="82"/>
      <x:c r="O15" s="82"/>
      <x:c r="P15" s="82"/>
      <x:c r="Q15" s="84" t="str">
        <x:f>IFERROR((COUNTIF(H15:P15,"☑ Implémenté")+COUNTIF(H15:P15,"☑ Oui")+0.5*COUNTIF(H15:P15,"◐ Partiel"))/(COUNTIF(H15:P15,"☑ Implémenté")+COUNTIF(H15:P15,"☑ Oui")+COUNTIF(H15:P15,"◐ Partiel")+COUNTIF(H15:P15,"☐ Non implémenté")+COUNTIF(H15:P15,"☐ Non")),"")</x:f>
      </x:c>
      <x:c r="R15" s="82"/>
      <x:c r="S15" s="82"/>
      <x:c r="T15" s="82"/>
      <x:c r="U15" s="82"/>
      <x:c r="V15" s="84" t="str">
        <x:f>IFERROR((COUNTIF(R15:U15,"☑ Implémenté")+COUNTIF(R15:U15,"☑ Oui")+0.5*COUNTIF(R15:U15,"◐ Partiel"))/(COUNTIF(R15:U15,"☑ Implémenté")+COUNTIF(R15:U15,"☑ Oui")+COUNTIF(R15:U15,"◐ Partiel")+COUNTIF(R15:U15,"☐ Non implémenté")+COUNTIF(R15:U15,"☐ Non")),"")</x:f>
      </x:c>
      <x:c r="W15" s="82"/>
      <x:c r="X15" s="82"/>
      <x:c r="Y15" s="84" t="str">
        <x:f>IFERROR((COUNTIF(W15:X15,"☑ Implémenté")+COUNTIF(W15:X15,"☑ Oui")+0.5*COUNTIF(W15:X15,"◐ Partiel"))/(COUNTIF(W15:X15,"☑ Implémenté")+COUNTIF(W15:X15,"☑ Oui")+COUNTIF(W15:X15,"◐ Partiel")+COUNTIF(W15:X15,"☐ Non implémenté")+COUNTIF(W15:X15,"☐ Non")),"")</x:f>
      </x:c>
      <x:c r="Z15" s="82"/>
      <x:c r="AA15" s="82"/>
      <x:c r="AB15" s="82"/>
      <x:c r="AC15" s="82"/>
      <x:c r="AD15" s="82"/>
      <x:c r="AE15" s="82"/>
      <x:c r="AF15" s="82"/>
      <x:c r="AG15" s="84"/>
      <x:c r="AH15" s="82"/>
      <x:c r="AI15" s="82"/>
      <x:c r="AJ15" s="82"/>
      <x:c r="AK15" s="82"/>
      <x:c r="AL15" s="82"/>
      <x:c r="AM15" s="82"/>
      <x:c r="AN15" s="82"/>
      <x:c r="AO15" s="82"/>
      <x:c r="AP15" s="82"/>
      <x:c r="AQ15" s="82"/>
      <x:c r="AR15" s="82"/>
      <x:c r="AS15" s="82"/>
      <x:c r="AT15" s="82"/>
      <x:c r="AU15" s="82"/>
      <x:c r="AV15" s="82"/>
      <x:c r="AW15" s="82"/>
      <x:c r="AX15" s="82"/>
      <x:c r="AY15" s="82"/>
      <x:c r="AZ15" s="82"/>
      <x:c r="BA15" s="82"/>
      <x:c r="BB15" s="82"/>
      <x:c r="BC15" s="82"/>
      <x:c r="BD15" s="84" t="str">
        <x:f>IFERROR((COUNTIF(AZ15:BC15,"☑ Implémenté")+COUNTIF(AZ15:BC15,"☑ Oui")+0.5*COUNTIF(AZ15:BC15,"◐ Partiel"))/(COUNTIF(AZ15:BC15,"☑ Implémenté")+COUNTIF(AZ15:BC15,"☑ Oui")+COUNTIF(AZ15:BC15,"◐ Partiel")+COUNTIF(AZ15:BC15,"☐ Non implémenté")+COUNTIF(AZ15:BC15,"☐ Non")),"")</x:f>
      </x:c>
      <x:c r="BE15" s="84" t="str">
        <x:f>IFERROR((COUNTIF(H15:BD15,"☑ Implémenté")+COUNTIF(H15:BD15,"☑ Oui")+COUNTIF(H15:BD15,"DevOpsFundation")+0.5*COUNTIF(H15:BD15,"◐ Partiel"))/(COUNTIF(H15:BD15,"☑ Implémenté")+COUNTIF(H15:BD15,"☑ Oui")+COUNTIF(H15:BD15,"DevOpsFundation")+COUNTIF(H15:BD15,"◐ Partiel")+COUNTIF(H15:BD15,"☐ Non implémenté")+COUNTIF(H15:BD15,"☐ Non")),"")</x:f>
      </x:c>
      <x:c r="BF15" s="82" t="str">
        <x:f>IF(B15="","",COUNTIF(H15:BD15,"☐ Non implémenté")+COUNTIF(H15:BD15,"☐ Non")+COUNTIF(H15:BD15,"◐ Partiel"))</x:f>
      </x:c>
      <x:c r="BG15" s="82"/>
    </x:row>
    <x:row r="16">
      <x:c r="A16" s="82"/>
      <x:c r="B16" s="82"/>
      <x:c r="C16" s="82"/>
      <x:c r="D16" s="82"/>
      <x:c r="E16" s="82"/>
      <x:c r="F16" s="82"/>
      <x:c r="G16" s="82"/>
      <x:c r="H16" s="82"/>
      <x:c r="I16" s="82"/>
      <x:c r="J16" s="82"/>
      <x:c r="K16" s="82"/>
      <x:c r="L16" s="82"/>
      <x:c r="M16" s="82"/>
      <x:c r="N16" s="82"/>
      <x:c r="O16" s="82"/>
      <x:c r="P16" s="82"/>
      <x:c r="Q16" s="84" t="str">
        <x:f>IFERROR((COUNTIF(H16:P16,"☑ Implémenté")+COUNTIF(H16:P16,"☑ Oui")+0.5*COUNTIF(H16:P16,"◐ Partiel"))/(COUNTIF(H16:P16,"☑ Implémenté")+COUNTIF(H16:P16,"☑ Oui")+COUNTIF(H16:P16,"◐ Partiel")+COUNTIF(H16:P16,"☐ Non implémenté")+COUNTIF(H16:P16,"☐ Non")),"")</x:f>
      </x:c>
      <x:c r="R16" s="82"/>
      <x:c r="S16" s="82"/>
      <x:c r="T16" s="82"/>
      <x:c r="U16" s="82"/>
      <x:c r="V16" s="84" t="str">
        <x:f>IFERROR((COUNTIF(R16:U16,"☑ Implémenté")+COUNTIF(R16:U16,"☑ Oui")+0.5*COUNTIF(R16:U16,"◐ Partiel"))/(COUNTIF(R16:U16,"☑ Implémenté")+COUNTIF(R16:U16,"☑ Oui")+COUNTIF(R16:U16,"◐ Partiel")+COUNTIF(R16:U16,"☐ Non implémenté")+COUNTIF(R16:U16,"☐ Non")),"")</x:f>
      </x:c>
      <x:c r="W16" s="82"/>
      <x:c r="X16" s="82"/>
      <x:c r="Y16" s="84" t="str">
        <x:f>IFERROR((COUNTIF(W16:X16,"☑ Implémenté")+COUNTIF(W16:X16,"☑ Oui")+0.5*COUNTIF(W16:X16,"◐ Partiel"))/(COUNTIF(W16:X16,"☑ Implémenté")+COUNTIF(W16:X16,"☑ Oui")+COUNTIF(W16:X16,"◐ Partiel")+COUNTIF(W16:X16,"☐ Non implémenté")+COUNTIF(W16:X16,"☐ Non")),"")</x:f>
      </x:c>
      <x:c r="Z16" s="82"/>
      <x:c r="AA16" s="82"/>
      <x:c r="AB16" s="82"/>
      <x:c r="AC16" s="82"/>
      <x:c r="AD16" s="82"/>
      <x:c r="AE16" s="82"/>
      <x:c r="AF16" s="82"/>
      <x:c r="AG16" s="84"/>
      <x:c r="AH16" s="82"/>
      <x:c r="AI16" s="82"/>
      <x:c r="AJ16" s="82"/>
      <x:c r="AK16" s="82"/>
      <x:c r="AL16" s="82"/>
      <x:c r="AM16" s="82"/>
      <x:c r="AN16" s="82"/>
      <x:c r="AO16" s="82"/>
      <x:c r="AP16" s="82"/>
      <x:c r="AQ16" s="82"/>
      <x:c r="AR16" s="82"/>
      <x:c r="AS16" s="82"/>
      <x:c r="AT16" s="82"/>
      <x:c r="AU16" s="82"/>
      <x:c r="AV16" s="82"/>
      <x:c r="AW16" s="82"/>
      <x:c r="AX16" s="82"/>
      <x:c r="AY16" s="82"/>
      <x:c r="AZ16" s="82"/>
      <x:c r="BA16" s="82"/>
      <x:c r="BB16" s="82"/>
      <x:c r="BC16" s="82"/>
      <x:c r="BD16" s="84" t="str">
        <x:f>IFERROR((COUNTIF(AZ16:BC16,"☑ Implémenté")+COUNTIF(AZ16:BC16,"☑ Oui")+0.5*COUNTIF(AZ16:BC16,"◐ Partiel"))/(COUNTIF(AZ16:BC16,"☑ Implémenté")+COUNTIF(AZ16:BC16,"☑ Oui")+COUNTIF(AZ16:BC16,"◐ Partiel")+COUNTIF(AZ16:BC16,"☐ Non implémenté")+COUNTIF(AZ16:BC16,"☐ Non")),"")</x:f>
      </x:c>
      <x:c r="BE16" s="84" t="str">
        <x:f>IFERROR((COUNTIF(H16:BD16,"☑ Implémenté")+COUNTIF(H16:BD16,"☑ Oui")+COUNTIF(H16:BD16,"DevOpsFundation")+0.5*COUNTIF(H16:BD16,"◐ Partiel"))/(COUNTIF(H16:BD16,"☑ Implémenté")+COUNTIF(H16:BD16,"☑ Oui")+COUNTIF(H16:BD16,"DevOpsFundation")+COUNTIF(H16:BD16,"◐ Partiel")+COUNTIF(H16:BD16,"☐ Non implémenté")+COUNTIF(H16:BD16,"☐ Non")),"")</x:f>
      </x:c>
      <x:c r="BF16" s="82" t="str">
        <x:f>IF(B16="","",COUNTIF(H16:BD16,"☐ Non implémenté")+COUNTIF(H16:BD16,"☐ Non")+COUNTIF(H16:BD16,"◐ Partiel"))</x:f>
      </x:c>
      <x:c r="BG16" s="82"/>
    </x:row>
    <x:row r="17">
      <x:c r="A17" s="82"/>
      <x:c r="B17" s="82"/>
      <x:c r="C17" s="82"/>
      <x:c r="D17" s="82"/>
      <x:c r="E17" s="82"/>
      <x:c r="F17" s="82"/>
      <x:c r="G17" s="82"/>
      <x:c r="H17" s="82"/>
      <x:c r="I17" s="82"/>
      <x:c r="J17" s="82"/>
      <x:c r="K17" s="82"/>
      <x:c r="L17" s="82"/>
      <x:c r="M17" s="82"/>
      <x:c r="N17" s="82"/>
      <x:c r="O17" s="82"/>
      <x:c r="P17" s="82"/>
      <x:c r="Q17" s="84" t="str">
        <x:f>IFERROR((COUNTIF(H17:P17,"☑ Implémenté")+COUNTIF(H17:P17,"☑ Oui")+0.5*COUNTIF(H17:P17,"◐ Partiel"))/(COUNTIF(H17:P17,"☑ Implémenté")+COUNTIF(H17:P17,"☑ Oui")+COUNTIF(H17:P17,"◐ Partiel")+COUNTIF(H17:P17,"☐ Non implémenté")+COUNTIF(H17:P17,"☐ Non")),"")</x:f>
      </x:c>
      <x:c r="R17" s="82"/>
      <x:c r="S17" s="82"/>
      <x:c r="T17" s="82"/>
      <x:c r="U17" s="82"/>
      <x:c r="V17" s="84" t="str">
        <x:f>IFERROR((COUNTIF(R17:U17,"☑ Implémenté")+COUNTIF(R17:U17,"☑ Oui")+0.5*COUNTIF(R17:U17,"◐ Partiel"))/(COUNTIF(R17:U17,"☑ Implémenté")+COUNTIF(R17:U17,"☑ Oui")+COUNTIF(R17:U17,"◐ Partiel")+COUNTIF(R17:U17,"☐ Non implémenté")+COUNTIF(R17:U17,"☐ Non")),"")</x:f>
      </x:c>
      <x:c r="W17" s="82"/>
      <x:c r="X17" s="82"/>
      <x:c r="Y17" s="84" t="str">
        <x:f>IFERROR((COUNTIF(W17:X17,"☑ Implémenté")+COUNTIF(W17:X17,"☑ Oui")+0.5*COUNTIF(W17:X17,"◐ Partiel"))/(COUNTIF(W17:X17,"☑ Implémenté")+COUNTIF(W17:X17,"☑ Oui")+COUNTIF(W17:X17,"◐ Partiel")+COUNTIF(W17:X17,"☐ Non implémenté")+COUNTIF(W17:X17,"☐ Non")),"")</x:f>
      </x:c>
      <x:c r="Z17" s="82"/>
      <x:c r="AA17" s="82"/>
      <x:c r="AB17" s="82"/>
      <x:c r="AC17" s="82"/>
      <x:c r="AD17" s="82"/>
      <x:c r="AE17" s="82"/>
      <x:c r="AF17" s="82"/>
      <x:c r="AG17" s="84"/>
      <x:c r="AH17" s="82"/>
      <x:c r="AI17" s="82"/>
      <x:c r="AJ17" s="82"/>
      <x:c r="AK17" s="82"/>
      <x:c r="AL17" s="82"/>
      <x:c r="AM17" s="82"/>
      <x:c r="AN17" s="82"/>
      <x:c r="AO17" s="82"/>
      <x:c r="AP17" s="82"/>
      <x:c r="AQ17" s="82"/>
      <x:c r="AR17" s="82"/>
      <x:c r="AS17" s="82"/>
      <x:c r="AT17" s="82"/>
      <x:c r="AU17" s="82"/>
      <x:c r="AV17" s="82"/>
      <x:c r="AW17" s="82"/>
      <x:c r="AX17" s="82"/>
      <x:c r="AY17" s="82"/>
      <x:c r="AZ17" s="82"/>
      <x:c r="BA17" s="82"/>
      <x:c r="BB17" s="82"/>
      <x:c r="BC17" s="82"/>
      <x:c r="BD17" s="84" t="str">
        <x:f>IFERROR((COUNTIF(AZ17:BC17,"☑ Implémenté")+COUNTIF(AZ17:BC17,"☑ Oui")+0.5*COUNTIF(AZ17:BC17,"◐ Partiel"))/(COUNTIF(AZ17:BC17,"☑ Implémenté")+COUNTIF(AZ17:BC17,"☑ Oui")+COUNTIF(AZ17:BC17,"◐ Partiel")+COUNTIF(AZ17:BC17,"☐ Non implémenté")+COUNTIF(AZ17:BC17,"☐ Non")),"")</x:f>
      </x:c>
      <x:c r="BE17" s="84" t="str">
        <x:f>IFERROR((COUNTIF(H17:BD17,"☑ Implémenté")+COUNTIF(H17:BD17,"☑ Oui")+COUNTIF(H17:BD17,"DevOpsFundation")+0.5*COUNTIF(H17:BD17,"◐ Partiel"))/(COUNTIF(H17:BD17,"☑ Implémenté")+COUNTIF(H17:BD17,"☑ Oui")+COUNTIF(H17:BD17,"DevOpsFundation")+COUNTIF(H17:BD17,"◐ Partiel")+COUNTIF(H17:BD17,"☐ Non implémenté")+COUNTIF(H17:BD17,"☐ Non")),"")</x:f>
      </x:c>
      <x:c r="BF17" s="82" t="str">
        <x:f>IF(B17="","",COUNTIF(H17:BD17,"☐ Non implémenté")+COUNTIF(H17:BD17,"☐ Non")+COUNTIF(H17:BD17,"◐ Partiel"))</x:f>
      </x:c>
      <x:c r="BG17" s="82"/>
    </x:row>
    <x:row r="18">
      <x:c r="A18" s="82"/>
      <x:c r="B18" s="82"/>
      <x:c r="C18" s="82"/>
      <x:c r="D18" s="82"/>
      <x:c r="E18" s="82"/>
      <x:c r="F18" s="82"/>
      <x:c r="G18" s="82"/>
      <x:c r="H18" s="82"/>
      <x:c r="I18" s="82"/>
      <x:c r="J18" s="82"/>
      <x:c r="K18" s="82"/>
      <x:c r="L18" s="82"/>
      <x:c r="M18" s="82"/>
      <x:c r="N18" s="82"/>
      <x:c r="O18" s="82"/>
      <x:c r="P18" s="82"/>
      <x:c r="Q18" s="84" t="str">
        <x:f>IFERROR((COUNTIF(H18:P18,"☑ Implémenté")+COUNTIF(H18:P18,"☑ Oui")+0.5*COUNTIF(H18:P18,"◐ Partiel"))/(COUNTIF(H18:P18,"☑ Implémenté")+COUNTIF(H18:P18,"☑ Oui")+COUNTIF(H18:P18,"◐ Partiel")+COUNTIF(H18:P18,"☐ Non implémenté")+COUNTIF(H18:P18,"☐ Non")),"")</x:f>
      </x:c>
      <x:c r="R18" s="82"/>
      <x:c r="S18" s="82"/>
      <x:c r="T18" s="82"/>
      <x:c r="U18" s="82"/>
      <x:c r="V18" s="84" t="str">
        <x:f>IFERROR((COUNTIF(R18:U18,"☑ Implémenté")+COUNTIF(R18:U18,"☑ Oui")+0.5*COUNTIF(R18:U18,"◐ Partiel"))/(COUNTIF(R18:U18,"☑ Implémenté")+COUNTIF(R18:U18,"☑ Oui")+COUNTIF(R18:U18,"◐ Partiel")+COUNTIF(R18:U18,"☐ Non implémenté")+COUNTIF(R18:U18,"☐ Non")),"")</x:f>
      </x:c>
      <x:c r="W18" s="82"/>
      <x:c r="X18" s="82"/>
      <x:c r="Y18" s="84" t="str">
        <x:f>IFERROR((COUNTIF(W18:X18,"☑ Implémenté")+COUNTIF(W18:X18,"☑ Oui")+0.5*COUNTIF(W18:X18,"◐ Partiel"))/(COUNTIF(W18:X18,"☑ Implémenté")+COUNTIF(W18:X18,"☑ Oui")+COUNTIF(W18:X18,"◐ Partiel")+COUNTIF(W18:X18,"☐ Non implémenté")+COUNTIF(W18:X18,"☐ Non")),"")</x:f>
      </x:c>
      <x:c r="Z18" s="82"/>
      <x:c r="AA18" s="82"/>
      <x:c r="AB18" s="82"/>
      <x:c r="AC18" s="82"/>
      <x:c r="AD18" s="82"/>
      <x:c r="AE18" s="82"/>
      <x:c r="AF18" s="82"/>
      <x:c r="AG18" s="84"/>
      <x:c r="AH18" s="82"/>
      <x:c r="AI18" s="82"/>
      <x:c r="AJ18" s="82"/>
      <x:c r="AK18" s="82"/>
      <x:c r="AL18" s="82"/>
      <x:c r="AM18" s="82"/>
      <x:c r="AN18" s="82"/>
      <x:c r="AO18" s="82"/>
      <x:c r="AP18" s="82"/>
      <x:c r="AQ18" s="82"/>
      <x:c r="AR18" s="82"/>
      <x:c r="AS18" s="82"/>
      <x:c r="AT18" s="82"/>
      <x:c r="AU18" s="82"/>
      <x:c r="AV18" s="82"/>
      <x:c r="AW18" s="82"/>
      <x:c r="AX18" s="82"/>
      <x:c r="AY18" s="82"/>
      <x:c r="AZ18" s="82"/>
      <x:c r="BA18" s="82"/>
      <x:c r="BB18" s="82"/>
      <x:c r="BC18" s="82"/>
      <x:c r="BD18" s="84" t="str">
        <x:f>IFERROR((COUNTIF(AZ18:BC18,"☑ Implémenté")+COUNTIF(AZ18:BC18,"☑ Oui")+0.5*COUNTIF(AZ18:BC18,"◐ Partiel"))/(COUNTIF(AZ18:BC18,"☑ Implémenté")+COUNTIF(AZ18:BC18,"☑ Oui")+COUNTIF(AZ18:BC18,"◐ Partiel")+COUNTIF(AZ18:BC18,"☐ Non implémenté")+COUNTIF(AZ18:BC18,"☐ Non")),"")</x:f>
      </x:c>
      <x:c r="BE18" s="84" t="str">
        <x:f>IFERROR((COUNTIF(H18:BD18,"☑ Implémenté")+COUNTIF(H18:BD18,"☑ Oui")+COUNTIF(H18:BD18,"DevOpsFundation")+0.5*COUNTIF(H18:BD18,"◐ Partiel"))/(COUNTIF(H18:BD18,"☑ Implémenté")+COUNTIF(H18:BD18,"☑ Oui")+COUNTIF(H18:BD18,"DevOpsFundation")+COUNTIF(H18:BD18,"◐ Partiel")+COUNTIF(H18:BD18,"☐ Non implémenté")+COUNTIF(H18:BD18,"☐ Non")),"")</x:f>
      </x:c>
      <x:c r="BF18" s="82" t="str">
        <x:f>IF(B18="","",COUNTIF(H18:BD18,"☐ Non implémenté")+COUNTIF(H18:BD18,"☐ Non")+COUNTIF(H18:BD18,"◐ Partiel"))</x:f>
      </x:c>
      <x:c r="BG18" s="82"/>
    </x:row>
    <x:row r="19">
      <x:c r="A19" s="82"/>
      <x:c r="B19" s="82"/>
      <x:c r="C19" s="82"/>
      <x:c r="D19" s="82"/>
      <x:c r="E19" s="82"/>
      <x:c r="F19" s="82"/>
      <x:c r="G19" s="82"/>
      <x:c r="H19" s="82"/>
      <x:c r="I19" s="82"/>
      <x:c r="J19" s="82"/>
      <x:c r="K19" s="82"/>
      <x:c r="L19" s="82"/>
      <x:c r="M19" s="82"/>
      <x:c r="N19" s="82"/>
      <x:c r="O19" s="82"/>
      <x:c r="P19" s="82"/>
      <x:c r="Q19" s="84" t="str">
        <x:f>IFERROR((COUNTIF(H19:P19,"☑ Implémenté")+COUNTIF(H19:P19,"☑ Oui")+0.5*COUNTIF(H19:P19,"◐ Partiel"))/(COUNTIF(H19:P19,"☑ Implémenté")+COUNTIF(H19:P19,"☑ Oui")+COUNTIF(H19:P19,"◐ Partiel")+COUNTIF(H19:P19,"☐ Non implémenté")+COUNTIF(H19:P19,"☐ Non")),"")</x:f>
      </x:c>
      <x:c r="R19" s="82"/>
      <x:c r="S19" s="82"/>
      <x:c r="T19" s="82"/>
      <x:c r="U19" s="82"/>
      <x:c r="V19" s="84" t="str">
        <x:f>IFERROR((COUNTIF(R19:U19,"☑ Implémenté")+COUNTIF(R19:U19,"☑ Oui")+0.5*COUNTIF(R19:U19,"◐ Partiel"))/(COUNTIF(R19:U19,"☑ Implémenté")+COUNTIF(R19:U19,"☑ Oui")+COUNTIF(R19:U19,"◐ Partiel")+COUNTIF(R19:U19,"☐ Non implémenté")+COUNTIF(R19:U19,"☐ Non")),"")</x:f>
      </x:c>
      <x:c r="W19" s="82"/>
      <x:c r="X19" s="82"/>
      <x:c r="Y19" s="84" t="str">
        <x:f>IFERROR((COUNTIF(W19:X19,"☑ Implémenté")+COUNTIF(W19:X19,"☑ Oui")+0.5*COUNTIF(W19:X19,"◐ Partiel"))/(COUNTIF(W19:X19,"☑ Implémenté")+COUNTIF(W19:X19,"☑ Oui")+COUNTIF(W19:X19,"◐ Partiel")+COUNTIF(W19:X19,"☐ Non implémenté")+COUNTIF(W19:X19,"☐ Non")),"")</x:f>
      </x:c>
      <x:c r="Z19" s="82"/>
      <x:c r="AA19" s="82"/>
      <x:c r="AB19" s="82"/>
      <x:c r="AC19" s="82"/>
      <x:c r="AD19" s="82"/>
      <x:c r="AE19" s="82"/>
      <x:c r="AF19" s="82"/>
      <x:c r="AG19" s="84"/>
      <x:c r="AH19" s="82"/>
      <x:c r="AI19" s="82"/>
      <x:c r="AJ19" s="82"/>
      <x:c r="AK19" s="82"/>
      <x:c r="AL19" s="82"/>
      <x:c r="AM19" s="82"/>
      <x:c r="AN19" s="82"/>
      <x:c r="AO19" s="82"/>
      <x:c r="AP19" s="82"/>
      <x:c r="AQ19" s="82"/>
      <x:c r="AR19" s="82"/>
      <x:c r="AS19" s="82"/>
      <x:c r="AT19" s="82"/>
      <x:c r="AU19" s="82"/>
      <x:c r="AV19" s="82"/>
      <x:c r="AW19" s="82"/>
      <x:c r="AX19" s="82"/>
      <x:c r="AY19" s="82"/>
      <x:c r="AZ19" s="82"/>
      <x:c r="BA19" s="82"/>
      <x:c r="BB19" s="82"/>
      <x:c r="BC19" s="82"/>
      <x:c r="BD19" s="84" t="str">
        <x:f>IFERROR((COUNTIF(AZ19:BC19,"☑ Implémenté")+COUNTIF(AZ19:BC19,"☑ Oui")+0.5*COUNTIF(AZ19:BC19,"◐ Partiel"))/(COUNTIF(AZ19:BC19,"☑ Implémenté")+COUNTIF(AZ19:BC19,"☑ Oui")+COUNTIF(AZ19:BC19,"◐ Partiel")+COUNTIF(AZ19:BC19,"☐ Non implémenté")+COUNTIF(AZ19:BC19,"☐ Non")),"")</x:f>
      </x:c>
      <x:c r="BE19" s="84" t="str">
        <x:f>IFERROR((COUNTIF(H19:BD19,"☑ Implémenté")+COUNTIF(H19:BD19,"☑ Oui")+COUNTIF(H19:BD19,"DevOpsFundation")+0.5*COUNTIF(H19:BD19,"◐ Partiel"))/(COUNTIF(H19:BD19,"☑ Implémenté")+COUNTIF(H19:BD19,"☑ Oui")+COUNTIF(H19:BD19,"DevOpsFundation")+COUNTIF(H19:BD19,"◐ Partiel")+COUNTIF(H19:BD19,"☐ Non implémenté")+COUNTIF(H19:BD19,"☐ Non")),"")</x:f>
      </x:c>
      <x:c r="BF19" s="82" t="str">
        <x:f>IF(B19="","",COUNTIF(H19:BD19,"☐ Non implémenté")+COUNTIF(H19:BD19,"☐ Non")+COUNTIF(H19:BD19,"◐ Partiel"))</x:f>
      </x:c>
      <x:c r="BG19" s="82"/>
    </x:row>
    <x:row r="20">
      <x:c r="A20" s="82"/>
      <x:c r="B20" s="82"/>
      <x:c r="C20" s="82"/>
      <x:c r="D20" s="82"/>
      <x:c r="E20" s="82"/>
      <x:c r="F20" s="82"/>
      <x:c r="G20" s="82"/>
      <x:c r="H20" s="82"/>
      <x:c r="I20" s="82"/>
      <x:c r="J20" s="82"/>
      <x:c r="K20" s="82"/>
      <x:c r="L20" s="82"/>
      <x:c r="M20" s="82"/>
      <x:c r="N20" s="82"/>
      <x:c r="O20" s="82"/>
      <x:c r="P20" s="82"/>
      <x:c r="Q20" s="84" t="str">
        <x:f>IFERROR((COUNTIF(H20:P20,"☑ Implémenté")+COUNTIF(H20:P20,"☑ Oui")+0.5*COUNTIF(H20:P20,"◐ Partiel"))/(COUNTIF(H20:P20,"☑ Implémenté")+COUNTIF(H20:P20,"☑ Oui")+COUNTIF(H20:P20,"◐ Partiel")+COUNTIF(H20:P20,"☐ Non implémenté")+COUNTIF(H20:P20,"☐ Non")),"")</x:f>
      </x:c>
      <x:c r="R20" s="82"/>
      <x:c r="S20" s="82"/>
      <x:c r="T20" s="82"/>
      <x:c r="U20" s="82"/>
      <x:c r="V20" s="84" t="str">
        <x:f>IFERROR((COUNTIF(R20:U20,"☑ Implémenté")+COUNTIF(R20:U20,"☑ Oui")+0.5*COUNTIF(R20:U20,"◐ Partiel"))/(COUNTIF(R20:U20,"☑ Implémenté")+COUNTIF(R20:U20,"☑ Oui")+COUNTIF(R20:U20,"◐ Partiel")+COUNTIF(R20:U20,"☐ Non implémenté")+COUNTIF(R20:U20,"☐ Non")),"")</x:f>
      </x:c>
      <x:c r="W20" s="82"/>
      <x:c r="X20" s="82"/>
      <x:c r="Y20" s="84" t="str">
        <x:f>IFERROR((COUNTIF(W20:X20,"☑ Implémenté")+COUNTIF(W20:X20,"☑ Oui")+0.5*COUNTIF(W20:X20,"◐ Partiel"))/(COUNTIF(W20:X20,"☑ Implémenté")+COUNTIF(W20:X20,"☑ Oui")+COUNTIF(W20:X20,"◐ Partiel")+COUNTIF(W20:X20,"☐ Non implémenté")+COUNTIF(W20:X20,"☐ Non")),"")</x:f>
      </x:c>
      <x:c r="Z20" s="82"/>
      <x:c r="AA20" s="82"/>
      <x:c r="AB20" s="82"/>
      <x:c r="AC20" s="82"/>
      <x:c r="AD20" s="82"/>
      <x:c r="AE20" s="82"/>
      <x:c r="AF20" s="82"/>
      <x:c r="AG20" s="84"/>
      <x:c r="AH20" s="82"/>
      <x:c r="AI20" s="82"/>
      <x:c r="AJ20" s="82"/>
      <x:c r="AK20" s="82"/>
      <x:c r="AL20" s="82"/>
      <x:c r="AM20" s="82"/>
      <x:c r="AN20" s="82"/>
      <x:c r="AO20" s="82"/>
      <x:c r="AP20" s="82"/>
      <x:c r="AQ20" s="82"/>
      <x:c r="AR20" s="82"/>
      <x:c r="AS20" s="82"/>
      <x:c r="AT20" s="82"/>
      <x:c r="AU20" s="82"/>
      <x:c r="AV20" s="82"/>
      <x:c r="AW20" s="82"/>
      <x:c r="AX20" s="82"/>
      <x:c r="AY20" s="82"/>
      <x:c r="AZ20" s="82"/>
      <x:c r="BA20" s="82"/>
      <x:c r="BB20" s="82"/>
      <x:c r="BC20" s="82"/>
      <x:c r="BD20" s="84" t="str">
        <x:f>IFERROR((COUNTIF(AZ20:BC20,"☑ Implémenté")+COUNTIF(AZ20:BC20,"☑ Oui")+0.5*COUNTIF(AZ20:BC20,"◐ Partiel"))/(COUNTIF(AZ20:BC20,"☑ Implémenté")+COUNTIF(AZ20:BC20,"☑ Oui")+COUNTIF(AZ20:BC20,"◐ Partiel")+COUNTIF(AZ20:BC20,"☐ Non implémenté")+COUNTIF(AZ20:BC20,"☐ Non")),"")</x:f>
      </x:c>
      <x:c r="BE20" s="84" t="str">
        <x:f>IFERROR((COUNTIF(H20:BD20,"☑ Implémenté")+COUNTIF(H20:BD20,"☑ Oui")+COUNTIF(H20:BD20,"DevOpsFundation")+0.5*COUNTIF(H20:BD20,"◐ Partiel"))/(COUNTIF(H20:BD20,"☑ Implémenté")+COUNTIF(H20:BD20,"☑ Oui")+COUNTIF(H20:BD20,"DevOpsFundation")+COUNTIF(H20:BD20,"◐ Partiel")+COUNTIF(H20:BD20,"☐ Non implémenté")+COUNTIF(H20:BD20,"☐ Non")),"")</x:f>
      </x:c>
      <x:c r="BF20" s="82" t="str">
        <x:f>IF(B20="","",COUNTIF(H20:BD20,"☐ Non implémenté")+COUNTIF(H20:BD20,"☐ Non")+COUNTIF(H20:BD20,"◐ Partiel"))</x:f>
      </x:c>
      <x:c r="BG20" s="82"/>
    </x:row>
    <x:row r="21">
      <x:c r="A21" s="82"/>
      <x:c r="B21" s="82"/>
      <x:c r="C21" s="82"/>
      <x:c r="D21" s="82"/>
      <x:c r="E21" s="82"/>
      <x:c r="F21" s="82"/>
      <x:c r="G21" s="82"/>
      <x:c r="H21" s="82"/>
      <x:c r="I21" s="82"/>
      <x:c r="J21" s="82"/>
      <x:c r="K21" s="82"/>
      <x:c r="L21" s="82"/>
      <x:c r="M21" s="82"/>
      <x:c r="N21" s="82"/>
      <x:c r="O21" s="82"/>
      <x:c r="P21" s="82"/>
      <x:c r="Q21" s="84" t="str">
        <x:f>IFERROR((COUNTIF(H21:P21,"☑ Implémenté")+COUNTIF(H21:P21,"☑ Oui")+0.5*COUNTIF(H21:P21,"◐ Partiel"))/(COUNTIF(H21:P21,"☑ Implémenté")+COUNTIF(H21:P21,"☑ Oui")+COUNTIF(H21:P21,"◐ Partiel")+COUNTIF(H21:P21,"☐ Non implémenté")+COUNTIF(H21:P21,"☐ Non")),"")</x:f>
      </x:c>
      <x:c r="R21" s="82"/>
      <x:c r="S21" s="82"/>
      <x:c r="T21" s="82"/>
      <x:c r="U21" s="82"/>
      <x:c r="V21" s="84" t="str">
        <x:f>IFERROR((COUNTIF(R21:U21,"☑ Implémenté")+COUNTIF(R21:U21,"☑ Oui")+0.5*COUNTIF(R21:U21,"◐ Partiel"))/(COUNTIF(R21:U21,"☑ Implémenté")+COUNTIF(R21:U21,"☑ Oui")+COUNTIF(R21:U21,"◐ Partiel")+COUNTIF(R21:U21,"☐ Non implémenté")+COUNTIF(R21:U21,"☐ Non")),"")</x:f>
      </x:c>
      <x:c r="W21" s="82"/>
      <x:c r="X21" s="82"/>
      <x:c r="Y21" s="84" t="str">
        <x:f>IFERROR((COUNTIF(W21:X21,"☑ Implémenté")+COUNTIF(W21:X21,"☑ Oui")+0.5*COUNTIF(W21:X21,"◐ Partiel"))/(COUNTIF(W21:X21,"☑ Implémenté")+COUNTIF(W21:X21,"☑ Oui")+COUNTIF(W21:X21,"◐ Partiel")+COUNTIF(W21:X21,"☐ Non implémenté")+COUNTIF(W21:X21,"☐ Non")),"")</x:f>
      </x:c>
      <x:c r="Z21" s="82"/>
      <x:c r="AA21" s="82"/>
      <x:c r="AB21" s="82"/>
      <x:c r="AC21" s="82"/>
      <x:c r="AD21" s="82"/>
      <x:c r="AE21" s="82"/>
      <x:c r="AF21" s="82"/>
      <x:c r="AG21" s="84"/>
      <x:c r="AH21" s="82"/>
      <x:c r="AI21" s="82"/>
      <x:c r="AJ21" s="82"/>
      <x:c r="AK21" s="82"/>
      <x:c r="AL21" s="82"/>
      <x:c r="AM21" s="82"/>
      <x:c r="AN21" s="82"/>
      <x:c r="AO21" s="82"/>
      <x:c r="AP21" s="82"/>
      <x:c r="AQ21" s="82"/>
      <x:c r="AR21" s="82"/>
      <x:c r="AS21" s="82"/>
      <x:c r="AT21" s="82"/>
      <x:c r="AU21" s="82"/>
      <x:c r="AV21" s="82"/>
      <x:c r="AW21" s="82"/>
      <x:c r="AX21" s="82"/>
      <x:c r="AY21" s="82"/>
      <x:c r="AZ21" s="82"/>
      <x:c r="BA21" s="82"/>
      <x:c r="BB21" s="82"/>
      <x:c r="BC21" s="82"/>
      <x:c r="BD21" s="84" t="str">
        <x:f>IFERROR((COUNTIF(AZ21:BC21,"☑ Implémenté")+COUNTIF(AZ21:BC21,"☑ Oui")+0.5*COUNTIF(AZ21:BC21,"◐ Partiel"))/(COUNTIF(AZ21:BC21,"☑ Implémenté")+COUNTIF(AZ21:BC21,"☑ Oui")+COUNTIF(AZ21:BC21,"◐ Partiel")+COUNTIF(AZ21:BC21,"☐ Non implémenté")+COUNTIF(AZ21:BC21,"☐ Non")),"")</x:f>
      </x:c>
      <x:c r="BE21" s="84" t="str">
        <x:f>IFERROR((COUNTIF(H21:BD21,"☑ Implémenté")+COUNTIF(H21:BD21,"☑ Oui")+COUNTIF(H21:BD21,"DevOpsFundation")+0.5*COUNTIF(H21:BD21,"◐ Partiel"))/(COUNTIF(H21:BD21,"☑ Implémenté")+COUNTIF(H21:BD21,"☑ Oui")+COUNTIF(H21:BD21,"DevOpsFundation")+COUNTIF(H21:BD21,"◐ Partiel")+COUNTIF(H21:BD21,"☐ Non implémenté")+COUNTIF(H21:BD21,"☐ Non")),"")</x:f>
      </x:c>
      <x:c r="BF21" s="82" t="str">
        <x:f>IF(B21="","",COUNTIF(H21:BD21,"☐ Non implémenté")+COUNTIF(H21:BD21,"☐ Non")+COUNTIF(H21:BD21,"◐ Partiel"))</x:f>
      </x:c>
      <x:c r="BG21" s="82"/>
    </x:row>
    <x:row r="22">
      <x:c r="A22" s="82"/>
      <x:c r="B22" s="82"/>
      <x:c r="C22" s="82"/>
      <x:c r="D22" s="82"/>
      <x:c r="E22" s="82"/>
      <x:c r="F22" s="82"/>
      <x:c r="G22" s="82"/>
      <x:c r="H22" s="82"/>
      <x:c r="I22" s="82"/>
      <x:c r="J22" s="82"/>
      <x:c r="K22" s="82"/>
      <x:c r="L22" s="82"/>
      <x:c r="M22" s="82"/>
      <x:c r="N22" s="82"/>
      <x:c r="O22" s="82"/>
      <x:c r="P22" s="82"/>
      <x:c r="Q22" s="84" t="str">
        <x:f>IFERROR((COUNTIF(H22:P22,"☑ Implémenté")+COUNTIF(H22:P22,"☑ Oui")+0.5*COUNTIF(H22:P22,"◐ Partiel"))/(COUNTIF(H22:P22,"☑ Implémenté")+COUNTIF(H22:P22,"☑ Oui")+COUNTIF(H22:P22,"◐ Partiel")+COUNTIF(H22:P22,"☐ Non implémenté")+COUNTIF(H22:P22,"☐ Non")),"")</x:f>
      </x:c>
      <x:c r="R22" s="82"/>
      <x:c r="S22" s="82"/>
      <x:c r="T22" s="82"/>
      <x:c r="U22" s="82"/>
      <x:c r="V22" s="84" t="str">
        <x:f>IFERROR((COUNTIF(R22:U22,"☑ Implémenté")+COUNTIF(R22:U22,"☑ Oui")+0.5*COUNTIF(R22:U22,"◐ Partiel"))/(COUNTIF(R22:U22,"☑ Implémenté")+COUNTIF(R22:U22,"☑ Oui")+COUNTIF(R22:U22,"◐ Partiel")+COUNTIF(R22:U22,"☐ Non implémenté")+COUNTIF(R22:U22,"☐ Non")),"")</x:f>
      </x:c>
      <x:c r="W22" s="82"/>
      <x:c r="X22" s="82"/>
      <x:c r="Y22" s="84" t="str">
        <x:f>IFERROR((COUNTIF(W22:X22,"☑ Implémenté")+COUNTIF(W22:X22,"☑ Oui")+0.5*COUNTIF(W22:X22,"◐ Partiel"))/(COUNTIF(W22:X22,"☑ Implémenté")+COUNTIF(W22:X22,"☑ Oui")+COUNTIF(W22:X22,"◐ Partiel")+COUNTIF(W22:X22,"☐ Non implémenté")+COUNTIF(W22:X22,"☐ Non")),"")</x:f>
      </x:c>
      <x:c r="Z22" s="82"/>
      <x:c r="AA22" s="82"/>
      <x:c r="AB22" s="82"/>
      <x:c r="AC22" s="82"/>
      <x:c r="AD22" s="82"/>
      <x:c r="AE22" s="82"/>
      <x:c r="AF22" s="82"/>
      <x:c r="AG22" s="84"/>
      <x:c r="AH22" s="82"/>
      <x:c r="AI22" s="82"/>
      <x:c r="AJ22" s="82"/>
      <x:c r="AK22" s="82"/>
      <x:c r="AL22" s="82"/>
      <x:c r="AM22" s="82"/>
      <x:c r="AN22" s="82"/>
      <x:c r="AO22" s="82"/>
      <x:c r="AP22" s="82"/>
      <x:c r="AQ22" s="82"/>
      <x:c r="AR22" s="82"/>
      <x:c r="AS22" s="82"/>
      <x:c r="AT22" s="82"/>
      <x:c r="AU22" s="82"/>
      <x:c r="AV22" s="82"/>
      <x:c r="AW22" s="82"/>
      <x:c r="AX22" s="82"/>
      <x:c r="AY22" s="82"/>
      <x:c r="AZ22" s="82"/>
      <x:c r="BA22" s="82"/>
      <x:c r="BB22" s="82"/>
      <x:c r="BC22" s="82"/>
      <x:c r="BD22" s="84" t="str">
        <x:f>IFERROR((COUNTIF(AZ22:BC22,"☑ Implémenté")+COUNTIF(AZ22:BC22,"☑ Oui")+0.5*COUNTIF(AZ22:BC22,"◐ Partiel"))/(COUNTIF(AZ22:BC22,"☑ Implémenté")+COUNTIF(AZ22:BC22,"☑ Oui")+COUNTIF(AZ22:BC22,"◐ Partiel")+COUNTIF(AZ22:BC22,"☐ Non implémenté")+COUNTIF(AZ22:BC22,"☐ Non")),"")</x:f>
      </x:c>
      <x:c r="BE22" s="84" t="str">
        <x:f>IFERROR((COUNTIF(H22:BD22,"☑ Implémenté")+COUNTIF(H22:BD22,"☑ Oui")+COUNTIF(H22:BD22,"DevOpsFundation")+0.5*COUNTIF(H22:BD22,"◐ Partiel"))/(COUNTIF(H22:BD22,"☑ Implémenté")+COUNTIF(H22:BD22,"☑ Oui")+COUNTIF(H22:BD22,"DevOpsFundation")+COUNTIF(H22:BD22,"◐ Partiel")+COUNTIF(H22:BD22,"☐ Non implémenté")+COUNTIF(H22:BD22,"☐ Non")),"")</x:f>
      </x:c>
      <x:c r="BF22" s="82" t="str">
        <x:f>IF(B22="","",COUNTIF(H22:BD22,"☐ Non implémenté")+COUNTIF(H22:BD22,"☐ Non")+COUNTIF(H22:BD22,"◐ Partiel"))</x:f>
      </x:c>
      <x:c r="BG22" s="82"/>
    </x:row>
    <x:row r="23">
      <x:c r="A23" s="82"/>
      <x:c r="B23" s="82"/>
      <x:c r="C23" s="82"/>
      <x:c r="D23" s="82"/>
      <x:c r="E23" s="82"/>
      <x:c r="F23" s="82"/>
      <x:c r="G23" s="82"/>
      <x:c r="H23" s="82"/>
      <x:c r="I23" s="82"/>
      <x:c r="J23" s="82"/>
      <x:c r="K23" s="82"/>
      <x:c r="L23" s="82"/>
      <x:c r="M23" s="82"/>
      <x:c r="N23" s="82"/>
      <x:c r="O23" s="82"/>
      <x:c r="P23" s="82"/>
      <x:c r="Q23" s="84" t="str">
        <x:f>IFERROR((COUNTIF(H23:P23,"☑ Implémenté")+COUNTIF(H23:P23,"☑ Oui")+0.5*COUNTIF(H23:P23,"◐ Partiel"))/(COUNTIF(H23:P23,"☑ Implémenté")+COUNTIF(H23:P23,"☑ Oui")+COUNTIF(H23:P23,"◐ Partiel")+COUNTIF(H23:P23,"☐ Non implémenté")+COUNTIF(H23:P23,"☐ Non")),"")</x:f>
      </x:c>
      <x:c r="R23" s="82"/>
      <x:c r="S23" s="82"/>
      <x:c r="T23" s="82"/>
      <x:c r="U23" s="82"/>
      <x:c r="V23" s="84" t="str">
        <x:f>IFERROR((COUNTIF(R23:U23,"☑ Implémenté")+COUNTIF(R23:U23,"☑ Oui")+0.5*COUNTIF(R23:U23,"◐ Partiel"))/(COUNTIF(R23:U23,"☑ Implémenté")+COUNTIF(R23:U23,"☑ Oui")+COUNTIF(R23:U23,"◐ Partiel")+COUNTIF(R23:U23,"☐ Non implémenté")+COUNTIF(R23:U23,"☐ Non")),"")</x:f>
      </x:c>
      <x:c r="W23" s="82"/>
      <x:c r="X23" s="82"/>
      <x:c r="Y23" s="84" t="str">
        <x:f>IFERROR((COUNTIF(W23:X23,"☑ Implémenté")+COUNTIF(W23:X23,"☑ Oui")+0.5*COUNTIF(W23:X23,"◐ Partiel"))/(COUNTIF(W23:X23,"☑ Implémenté")+COUNTIF(W23:X23,"☑ Oui")+COUNTIF(W23:X23,"◐ Partiel")+COUNTIF(W23:X23,"☐ Non implémenté")+COUNTIF(W23:X23,"☐ Non")),"")</x:f>
      </x:c>
      <x:c r="Z23" s="82"/>
      <x:c r="AA23" s="82"/>
      <x:c r="AB23" s="82"/>
      <x:c r="AC23" s="82"/>
      <x:c r="AD23" s="82"/>
      <x:c r="AE23" s="82"/>
      <x:c r="AF23" s="82"/>
      <x:c r="AG23" s="84"/>
      <x:c r="AH23" s="82"/>
      <x:c r="AI23" s="82"/>
      <x:c r="AJ23" s="82"/>
      <x:c r="AK23" s="82"/>
      <x:c r="AL23" s="82"/>
      <x:c r="AM23" s="82"/>
      <x:c r="AN23" s="82"/>
      <x:c r="AO23" s="82"/>
      <x:c r="AP23" s="82"/>
      <x:c r="AQ23" s="82"/>
      <x:c r="AR23" s="82"/>
      <x:c r="AS23" s="82"/>
      <x:c r="AT23" s="82"/>
      <x:c r="AU23" s="82"/>
      <x:c r="AV23" s="82"/>
      <x:c r="AW23" s="82"/>
      <x:c r="AX23" s="82"/>
      <x:c r="AY23" s="82"/>
      <x:c r="AZ23" s="82"/>
      <x:c r="BA23" s="82"/>
      <x:c r="BB23" s="82"/>
      <x:c r="BC23" s="82"/>
      <x:c r="BD23" s="84" t="str">
        <x:f>IFERROR((COUNTIF(AZ23:BC23,"☑ Implémenté")+COUNTIF(AZ23:BC23,"☑ Oui")+0.5*COUNTIF(AZ23:BC23,"◐ Partiel"))/(COUNTIF(AZ23:BC23,"☑ Implémenté")+COUNTIF(AZ23:BC23,"☑ Oui")+COUNTIF(AZ23:BC23,"◐ Partiel")+COUNTIF(AZ23:BC23,"☐ Non implémenté")+COUNTIF(AZ23:BC23,"☐ Non")),"")</x:f>
      </x:c>
      <x:c r="BE23" s="84" t="str">
        <x:f>IFERROR((COUNTIF(H23:BD23,"☑ Implémenté")+COUNTIF(H23:BD23,"☑ Oui")+COUNTIF(H23:BD23,"DevOpsFundation")+0.5*COUNTIF(H23:BD23,"◐ Partiel"))/(COUNTIF(H23:BD23,"☑ Implémenté")+COUNTIF(H23:BD23,"☑ Oui")+COUNTIF(H23:BD23,"DevOpsFundation")+COUNTIF(H23:BD23,"◐ Partiel")+COUNTIF(H23:BD23,"☐ Non implémenté")+COUNTIF(H23:BD23,"☐ Non")),"")</x:f>
      </x:c>
      <x:c r="BF23" s="82" t="str">
        <x:f>IF(B23="","",COUNTIF(H23:BD23,"☐ Non implémenté")+COUNTIF(H23:BD23,"☐ Non")+COUNTIF(H23:BD23,"◐ Partiel"))</x:f>
      </x:c>
      <x:c r="BG23" s="82"/>
    </x:row>
    <x:row r="24">
      <x:c r="A24" s="82"/>
      <x:c r="B24" s="82"/>
      <x:c r="C24" s="82"/>
      <x:c r="D24" s="82"/>
      <x:c r="E24" s="82"/>
      <x:c r="F24" s="82"/>
      <x:c r="G24" s="82"/>
      <x:c r="H24" s="82"/>
      <x:c r="I24" s="82"/>
      <x:c r="J24" s="82"/>
      <x:c r="K24" s="82"/>
      <x:c r="L24" s="82"/>
      <x:c r="M24" s="82"/>
      <x:c r="N24" s="82"/>
      <x:c r="O24" s="82"/>
      <x:c r="P24" s="82"/>
      <x:c r="Q24" s="84" t="str">
        <x:f>IFERROR((COUNTIF(H24:P24,"☑ Implémenté")+COUNTIF(H24:P24,"☑ Oui")+0.5*COUNTIF(H24:P24,"◐ Partiel"))/(COUNTIF(H24:P24,"☑ Implémenté")+COUNTIF(H24:P24,"☑ Oui")+COUNTIF(H24:P24,"◐ Partiel")+COUNTIF(H24:P24,"☐ Non implémenté")+COUNTIF(H24:P24,"☐ Non")),"")</x:f>
      </x:c>
      <x:c r="R24" s="82"/>
      <x:c r="S24" s="82"/>
      <x:c r="T24" s="82"/>
      <x:c r="U24" s="82"/>
      <x:c r="V24" s="84" t="str">
        <x:f>IFERROR((COUNTIF(R24:U24,"☑ Implémenté")+COUNTIF(R24:U24,"☑ Oui")+0.5*COUNTIF(R24:U24,"◐ Partiel"))/(COUNTIF(R24:U24,"☑ Implémenté")+COUNTIF(R24:U24,"☑ Oui")+COUNTIF(R24:U24,"◐ Partiel")+COUNTIF(R24:U24,"☐ Non implémenté")+COUNTIF(R24:U24,"☐ Non")),"")</x:f>
      </x:c>
      <x:c r="W24" s="82"/>
      <x:c r="X24" s="82"/>
      <x:c r="Y24" s="84" t="str">
        <x:f>IFERROR((COUNTIF(W24:X24,"☑ Implémenté")+COUNTIF(W24:X24,"☑ Oui")+0.5*COUNTIF(W24:X24,"◐ Partiel"))/(COUNTIF(W24:X24,"☑ Implémenté")+COUNTIF(W24:X24,"☑ Oui")+COUNTIF(W24:X24,"◐ Partiel")+COUNTIF(W24:X24,"☐ Non implémenté")+COUNTIF(W24:X24,"☐ Non")),"")</x:f>
      </x:c>
      <x:c r="Z24" s="82"/>
      <x:c r="AA24" s="82"/>
      <x:c r="AB24" s="82"/>
      <x:c r="AC24" s="82"/>
      <x:c r="AD24" s="82"/>
      <x:c r="AE24" s="82"/>
      <x:c r="AF24" s="82"/>
      <x:c r="AG24" s="84"/>
      <x:c r="AH24" s="82"/>
      <x:c r="AI24" s="82"/>
      <x:c r="AJ24" s="82"/>
      <x:c r="AK24" s="82"/>
      <x:c r="AL24" s="82"/>
      <x:c r="AM24" s="82"/>
      <x:c r="AN24" s="82"/>
      <x:c r="AO24" s="82"/>
      <x:c r="AP24" s="82"/>
      <x:c r="AQ24" s="82"/>
      <x:c r="AR24" s="82"/>
      <x:c r="AS24" s="82"/>
      <x:c r="AT24" s="82"/>
      <x:c r="AU24" s="82"/>
      <x:c r="AV24" s="82"/>
      <x:c r="AW24" s="82"/>
      <x:c r="AX24" s="82"/>
      <x:c r="AY24" s="82"/>
      <x:c r="AZ24" s="82"/>
      <x:c r="BA24" s="82"/>
      <x:c r="BB24" s="82"/>
      <x:c r="BC24" s="82"/>
      <x:c r="BD24" s="84" t="str">
        <x:f>IFERROR((COUNTIF(AZ24:BC24,"☑ Implémenté")+COUNTIF(AZ24:BC24,"☑ Oui")+0.5*COUNTIF(AZ24:BC24,"◐ Partiel"))/(COUNTIF(AZ24:BC24,"☑ Implémenté")+COUNTIF(AZ24:BC24,"☑ Oui")+COUNTIF(AZ24:BC24,"◐ Partiel")+COUNTIF(AZ24:BC24,"☐ Non implémenté")+COUNTIF(AZ24:BC24,"☐ Non")),"")</x:f>
      </x:c>
      <x:c r="BE24" s="84" t="str">
        <x:f>IFERROR((COUNTIF(H24:BD24,"☑ Implémenté")+COUNTIF(H24:BD24,"☑ Oui")+COUNTIF(H24:BD24,"DevOpsFundation")+0.5*COUNTIF(H24:BD24,"◐ Partiel"))/(COUNTIF(H24:BD24,"☑ Implémenté")+COUNTIF(H24:BD24,"☑ Oui")+COUNTIF(H24:BD24,"DevOpsFundation")+COUNTIF(H24:BD24,"◐ Partiel")+COUNTIF(H24:BD24,"☐ Non implémenté")+COUNTIF(H24:BD24,"☐ Non")),"")</x:f>
      </x:c>
      <x:c r="BF24" s="82" t="str">
        <x:f>IF(B24="","",COUNTIF(H24:BD24,"☐ Non implémenté")+COUNTIF(H24:BD24,"☐ Non")+COUNTIF(H24:BD24,"◐ Partiel"))</x:f>
      </x:c>
      <x:c r="BG24" s="82"/>
    </x:row>
    <x:row r="25">
      <x:c r="A25" s="82"/>
      <x:c r="B25" s="82"/>
      <x:c r="C25" s="82"/>
      <x:c r="D25" s="82"/>
      <x:c r="E25" s="82"/>
      <x:c r="F25" s="82"/>
      <x:c r="G25" s="82"/>
      <x:c r="H25" s="82"/>
      <x:c r="I25" s="82"/>
      <x:c r="J25" s="82"/>
      <x:c r="K25" s="82"/>
      <x:c r="L25" s="82"/>
      <x:c r="M25" s="82"/>
      <x:c r="N25" s="82"/>
      <x:c r="O25" s="82"/>
      <x:c r="P25" s="82"/>
      <x:c r="Q25" s="84" t="str">
        <x:f>IFERROR((COUNTIF(H25:P25,"☑ Implémenté")+COUNTIF(H25:P25,"☑ Oui")+0.5*COUNTIF(H25:P25,"◐ Partiel"))/(COUNTIF(H25:P25,"☑ Implémenté")+COUNTIF(H25:P25,"☑ Oui")+COUNTIF(H25:P25,"◐ Partiel")+COUNTIF(H25:P25,"☐ Non implémenté")+COUNTIF(H25:P25,"☐ Non")),"")</x:f>
      </x:c>
      <x:c r="R25" s="82"/>
      <x:c r="S25" s="82"/>
      <x:c r="T25" s="82"/>
      <x:c r="U25" s="82"/>
      <x:c r="V25" s="84" t="str">
        <x:f>IFERROR((COUNTIF(R25:U25,"☑ Implémenté")+COUNTIF(R25:U25,"☑ Oui")+0.5*COUNTIF(R25:U25,"◐ Partiel"))/(COUNTIF(R25:U25,"☑ Implémenté")+COUNTIF(R25:U25,"☑ Oui")+COUNTIF(R25:U25,"◐ Partiel")+COUNTIF(R25:U25,"☐ Non implémenté")+COUNTIF(R25:U25,"☐ Non")),"")</x:f>
      </x:c>
      <x:c r="W25" s="82"/>
      <x:c r="X25" s="82"/>
      <x:c r="Y25" s="84" t="str">
        <x:f>IFERROR((COUNTIF(W25:X25,"☑ Implémenté")+COUNTIF(W25:X25,"☑ Oui")+0.5*COUNTIF(W25:X25,"◐ Partiel"))/(COUNTIF(W25:X25,"☑ Implémenté")+COUNTIF(W25:X25,"☑ Oui")+COUNTIF(W25:X25,"◐ Partiel")+COUNTIF(W25:X25,"☐ Non implémenté")+COUNTIF(W25:X25,"☐ Non")),"")</x:f>
      </x:c>
      <x:c r="Z25" s="82"/>
      <x:c r="AA25" s="82"/>
      <x:c r="AB25" s="82"/>
      <x:c r="AC25" s="82"/>
      <x:c r="AD25" s="82"/>
      <x:c r="AE25" s="82"/>
      <x:c r="AF25" s="82"/>
      <x:c r="AG25" s="84"/>
      <x:c r="AH25" s="82"/>
      <x:c r="AI25" s="82"/>
      <x:c r="AJ25" s="82"/>
      <x:c r="AK25" s="82"/>
      <x:c r="AL25" s="82"/>
      <x:c r="AM25" s="82"/>
      <x:c r="AN25" s="82"/>
      <x:c r="AO25" s="82"/>
      <x:c r="AP25" s="82"/>
      <x:c r="AQ25" s="82"/>
      <x:c r="AR25" s="82"/>
      <x:c r="AS25" s="82"/>
      <x:c r="AT25" s="82"/>
      <x:c r="AU25" s="82"/>
      <x:c r="AV25" s="82"/>
      <x:c r="AW25" s="82"/>
      <x:c r="AX25" s="82"/>
      <x:c r="AY25" s="82"/>
      <x:c r="AZ25" s="82"/>
      <x:c r="BA25" s="82"/>
      <x:c r="BB25" s="82"/>
      <x:c r="BC25" s="82"/>
      <x:c r="BD25" s="84" t="str">
        <x:f>IFERROR((COUNTIF(AZ25:BC25,"☑ Implémenté")+COUNTIF(AZ25:BC25,"☑ Oui")+0.5*COUNTIF(AZ25:BC25,"◐ Partiel"))/(COUNTIF(AZ25:BC25,"☑ Implémenté")+COUNTIF(AZ25:BC25,"☑ Oui")+COUNTIF(AZ25:BC25,"◐ Partiel")+COUNTIF(AZ25:BC25,"☐ Non implémenté")+COUNTIF(AZ25:BC25,"☐ Non")),"")</x:f>
      </x:c>
      <x:c r="BE25" s="84" t="str">
        <x:f>IFERROR((COUNTIF(H25:BD25,"☑ Implémenté")+COUNTIF(H25:BD25,"☑ Oui")+COUNTIF(H25:BD25,"DevOpsFundation")+0.5*COUNTIF(H25:BD25,"◐ Partiel"))/(COUNTIF(H25:BD25,"☑ Implémenté")+COUNTIF(H25:BD25,"☑ Oui")+COUNTIF(H25:BD25,"DevOpsFundation")+COUNTIF(H25:BD25,"◐ Partiel")+COUNTIF(H25:BD25,"☐ Non implémenté")+COUNTIF(H25:BD25,"☐ Non")),"")</x:f>
      </x:c>
      <x:c r="BF25" s="82" t="str">
        <x:f>IF(B25="","",COUNTIF(H25:BD25,"☐ Non implémenté")+COUNTIF(H25:BD25,"☐ Non")+COUNTIF(H25:BD25,"◐ Partiel"))</x:f>
      </x:c>
      <x:c r="BG25" s="82"/>
    </x:row>
    <x:row r="26">
      <x:c r="A26" s="82"/>
      <x:c r="B26" s="82"/>
      <x:c r="C26" s="82"/>
      <x:c r="D26" s="82"/>
      <x:c r="E26" s="82"/>
      <x:c r="F26" s="82"/>
      <x:c r="G26" s="82"/>
      <x:c r="H26" s="82"/>
      <x:c r="I26" s="82"/>
      <x:c r="J26" s="82"/>
      <x:c r="K26" s="82"/>
      <x:c r="L26" s="82"/>
      <x:c r="M26" s="82"/>
      <x:c r="N26" s="82"/>
      <x:c r="O26" s="82"/>
      <x:c r="P26" s="82"/>
      <x:c r="Q26" s="84" t="str">
        <x:f>IFERROR((COUNTIF(H26:P26,"☑ Implémenté")+COUNTIF(H26:P26,"☑ Oui")+0.5*COUNTIF(H26:P26,"◐ Partiel"))/(COUNTIF(H26:P26,"☑ Implémenté")+COUNTIF(H26:P26,"☑ Oui")+COUNTIF(H26:P26,"◐ Partiel")+COUNTIF(H26:P26,"☐ Non implémenté")+COUNTIF(H26:P26,"☐ Non")),"")</x:f>
      </x:c>
      <x:c r="R26" s="82"/>
      <x:c r="S26" s="82"/>
      <x:c r="T26" s="82"/>
      <x:c r="U26" s="82"/>
      <x:c r="V26" s="84" t="str">
        <x:f>IFERROR((COUNTIF(R26:U26,"☑ Implémenté")+COUNTIF(R26:U26,"☑ Oui")+0.5*COUNTIF(R26:U26,"◐ Partiel"))/(COUNTIF(R26:U26,"☑ Implémenté")+COUNTIF(R26:U26,"☑ Oui")+COUNTIF(R26:U26,"◐ Partiel")+COUNTIF(R26:U26,"☐ Non implémenté")+COUNTIF(R26:U26,"☐ Non")),"")</x:f>
      </x:c>
      <x:c r="W26" s="82"/>
      <x:c r="X26" s="82"/>
      <x:c r="Y26" s="84" t="str">
        <x:f>IFERROR((COUNTIF(W26:X26,"☑ Implémenté")+COUNTIF(W26:X26,"☑ Oui")+0.5*COUNTIF(W26:X26,"◐ Partiel"))/(COUNTIF(W26:X26,"☑ Implémenté")+COUNTIF(W26:X26,"☑ Oui")+COUNTIF(W26:X26,"◐ Partiel")+COUNTIF(W26:X26,"☐ Non implémenté")+COUNTIF(W26:X26,"☐ Non")),"")</x:f>
      </x:c>
      <x:c r="Z26" s="82"/>
      <x:c r="AA26" s="82"/>
      <x:c r="AB26" s="82"/>
      <x:c r="AC26" s="82"/>
      <x:c r="AD26" s="82"/>
      <x:c r="AE26" s="82"/>
      <x:c r="AF26" s="82"/>
      <x:c r="AG26" s="84"/>
      <x:c r="AH26" s="82"/>
      <x:c r="AI26" s="82"/>
      <x:c r="AJ26" s="82"/>
      <x:c r="AK26" s="82"/>
      <x:c r="AL26" s="82"/>
      <x:c r="AM26" s="82"/>
      <x:c r="AN26" s="82"/>
      <x:c r="AO26" s="82"/>
      <x:c r="AP26" s="82"/>
      <x:c r="AQ26" s="82"/>
      <x:c r="AR26" s="82"/>
      <x:c r="AS26" s="82"/>
      <x:c r="AT26" s="82"/>
      <x:c r="AU26" s="82"/>
      <x:c r="AV26" s="82"/>
      <x:c r="AW26" s="82"/>
      <x:c r="AX26" s="82"/>
      <x:c r="AY26" s="82"/>
      <x:c r="AZ26" s="82"/>
      <x:c r="BA26" s="82"/>
      <x:c r="BB26" s="82"/>
      <x:c r="BC26" s="82"/>
      <x:c r="BD26" s="84" t="str">
        <x:f>IFERROR((COUNTIF(AZ26:BC26,"☑ Implémenté")+COUNTIF(AZ26:BC26,"☑ Oui")+0.5*COUNTIF(AZ26:BC26,"◐ Partiel"))/(COUNTIF(AZ26:BC26,"☑ Implémenté")+COUNTIF(AZ26:BC26,"☑ Oui")+COUNTIF(AZ26:BC26,"◐ Partiel")+COUNTIF(AZ26:BC26,"☐ Non implémenté")+COUNTIF(AZ26:BC26,"☐ Non")),"")</x:f>
      </x:c>
      <x:c r="BE26" s="84" t="str">
        <x:f>IFERROR((COUNTIF(H26:BD26,"☑ Implémenté")+COUNTIF(H26:BD26,"☑ Oui")+COUNTIF(H26:BD26,"DevOpsFundation")+0.5*COUNTIF(H26:BD26,"◐ Partiel"))/(COUNTIF(H26:BD26,"☑ Implémenté")+COUNTIF(H26:BD26,"☑ Oui")+COUNTIF(H26:BD26,"DevOpsFundation")+COUNTIF(H26:BD26,"◐ Partiel")+COUNTIF(H26:BD26,"☐ Non implémenté")+COUNTIF(H26:BD26,"☐ Non")),"")</x:f>
      </x:c>
      <x:c r="BF26" s="82" t="str">
        <x:f>IF(B26="","",COUNTIF(H26:BD26,"☐ Non implémenté")+COUNTIF(H26:BD26,"☐ Non")+COUNTIF(H26:BD26,"◐ Partiel"))</x:f>
      </x:c>
      <x:c r="BG26" s="82"/>
    </x:row>
    <x:row r="27">
      <x:c r="A27" s="82"/>
      <x:c r="B27" s="82"/>
      <x:c r="C27" s="82"/>
      <x:c r="D27" s="82"/>
      <x:c r="E27" s="82"/>
      <x:c r="F27" s="82"/>
      <x:c r="G27" s="82"/>
      <x:c r="H27" s="82"/>
      <x:c r="I27" s="82"/>
      <x:c r="J27" s="82"/>
      <x:c r="K27" s="82"/>
      <x:c r="L27" s="82"/>
      <x:c r="M27" s="82"/>
      <x:c r="N27" s="82"/>
      <x:c r="O27" s="82"/>
      <x:c r="P27" s="82"/>
      <x:c r="Q27" s="84" t="str">
        <x:f>IFERROR((COUNTIF(H27:P27,"☑ Implémenté")+COUNTIF(H27:P27,"☑ Oui")+0.5*COUNTIF(H27:P27,"◐ Partiel"))/(COUNTIF(H27:P27,"☑ Implémenté")+COUNTIF(H27:P27,"☑ Oui")+COUNTIF(H27:P27,"◐ Partiel")+COUNTIF(H27:P27,"☐ Non implémenté")+COUNTIF(H27:P27,"☐ Non")),"")</x:f>
      </x:c>
      <x:c r="R27" s="82"/>
      <x:c r="S27" s="82"/>
      <x:c r="T27" s="82"/>
      <x:c r="U27" s="82"/>
      <x:c r="V27" s="84" t="str">
        <x:f>IFERROR((COUNTIF(R27:U27,"☑ Implémenté")+COUNTIF(R27:U27,"☑ Oui")+0.5*COUNTIF(R27:U27,"◐ Partiel"))/(COUNTIF(R27:U27,"☑ Implémenté")+COUNTIF(R27:U27,"☑ Oui")+COUNTIF(R27:U27,"◐ Partiel")+COUNTIF(R27:U27,"☐ Non implémenté")+COUNTIF(R27:U27,"☐ Non")),"")</x:f>
      </x:c>
      <x:c r="W27" s="82"/>
      <x:c r="X27" s="82"/>
      <x:c r="Y27" s="84" t="str">
        <x:f>IFERROR((COUNTIF(W27:X27,"☑ Implémenté")+COUNTIF(W27:X27,"☑ Oui")+0.5*COUNTIF(W27:X27,"◐ Partiel"))/(COUNTIF(W27:X27,"☑ Implémenté")+COUNTIF(W27:X27,"☑ Oui")+COUNTIF(W27:X27,"◐ Partiel")+COUNTIF(W27:X27,"☐ Non implémenté")+COUNTIF(W27:X27,"☐ Non")),"")</x:f>
      </x:c>
      <x:c r="Z27" s="82"/>
      <x:c r="AA27" s="82"/>
      <x:c r="AB27" s="82"/>
      <x:c r="AC27" s="82"/>
      <x:c r="AD27" s="82"/>
      <x:c r="AE27" s="82"/>
      <x:c r="AF27" s="82"/>
      <x:c r="AG27" s="84"/>
      <x:c r="AH27" s="82"/>
      <x:c r="AI27" s="82"/>
      <x:c r="AJ27" s="82"/>
      <x:c r="AK27" s="82"/>
      <x:c r="AL27" s="82"/>
      <x:c r="AM27" s="82"/>
      <x:c r="AN27" s="82"/>
      <x:c r="AO27" s="82"/>
      <x:c r="AP27" s="82"/>
      <x:c r="AQ27" s="82"/>
      <x:c r="AR27" s="82"/>
      <x:c r="AS27" s="82"/>
      <x:c r="AT27" s="82"/>
      <x:c r="AU27" s="82"/>
      <x:c r="AV27" s="82"/>
      <x:c r="AW27" s="82"/>
      <x:c r="AX27" s="82"/>
      <x:c r="AY27" s="82"/>
      <x:c r="AZ27" s="82"/>
      <x:c r="BA27" s="82"/>
      <x:c r="BB27" s="82"/>
      <x:c r="BC27" s="82"/>
      <x:c r="BD27" s="84" t="str">
        <x:f>IFERROR((COUNTIF(AZ27:BC27,"☑ Implémenté")+COUNTIF(AZ27:BC27,"☑ Oui")+0.5*COUNTIF(AZ27:BC27,"◐ Partiel"))/(COUNTIF(AZ27:BC27,"☑ Implémenté")+COUNTIF(AZ27:BC27,"☑ Oui")+COUNTIF(AZ27:BC27,"◐ Partiel")+COUNTIF(AZ27:BC27,"☐ Non implémenté")+COUNTIF(AZ27:BC27,"☐ Non")),"")</x:f>
      </x:c>
      <x:c r="BE27" s="84" t="str">
        <x:f>IFERROR((COUNTIF(H27:BD27,"☑ Implémenté")+COUNTIF(H27:BD27,"☑ Oui")+COUNTIF(H27:BD27,"DevOpsFundation")+0.5*COUNTIF(H27:BD27,"◐ Partiel"))/(COUNTIF(H27:BD27,"☑ Implémenté")+COUNTIF(H27:BD27,"☑ Oui")+COUNTIF(H27:BD27,"DevOpsFundation")+COUNTIF(H27:BD27,"◐ Partiel")+COUNTIF(H27:BD27,"☐ Non implémenté")+COUNTIF(H27:BD27,"☐ Non")),"")</x:f>
      </x:c>
      <x:c r="BF27" s="82" t="str">
        <x:f>IF(B27="","",COUNTIF(H27:BD27,"☐ Non implémenté")+COUNTIF(H27:BD27,"☐ Non")+COUNTIF(H27:BD27,"◐ Partiel"))</x:f>
      </x:c>
      <x:c r="BG27" s="82"/>
    </x:row>
    <x:row r="28">
      <x:c r="A28" s="82"/>
      <x:c r="B28" s="82"/>
      <x:c r="C28" s="82"/>
      <x:c r="D28" s="82"/>
      <x:c r="E28" s="82"/>
      <x:c r="F28" s="82"/>
      <x:c r="G28" s="82"/>
      <x:c r="H28" s="82"/>
      <x:c r="I28" s="82"/>
      <x:c r="J28" s="82"/>
      <x:c r="K28" s="82"/>
      <x:c r="L28" s="82"/>
      <x:c r="M28" s="82"/>
      <x:c r="N28" s="82"/>
      <x:c r="O28" s="82"/>
      <x:c r="P28" s="82"/>
      <x:c r="Q28" s="84" t="str">
        <x:f>IFERROR((COUNTIF(H28:P28,"☑ Implémenté")+COUNTIF(H28:P28,"☑ Oui")+0.5*COUNTIF(H28:P28,"◐ Partiel"))/(COUNTIF(H28:P28,"☑ Implémenté")+COUNTIF(H28:P28,"☑ Oui")+COUNTIF(H28:P28,"◐ Partiel")+COUNTIF(H28:P28,"☐ Non implémenté")+COUNTIF(H28:P28,"☐ Non")),"")</x:f>
      </x:c>
      <x:c r="R28" s="82"/>
      <x:c r="S28" s="82"/>
      <x:c r="T28" s="82"/>
      <x:c r="U28" s="82"/>
      <x:c r="V28" s="84" t="str">
        <x:f>IFERROR((COUNTIF(R28:U28,"☑ Implémenté")+COUNTIF(R28:U28,"☑ Oui")+0.5*COUNTIF(R28:U28,"◐ Partiel"))/(COUNTIF(R28:U28,"☑ Implémenté")+COUNTIF(R28:U28,"☑ Oui")+COUNTIF(R28:U28,"◐ Partiel")+COUNTIF(R28:U28,"☐ Non implémenté")+COUNTIF(R28:U28,"☐ Non")),"")</x:f>
      </x:c>
      <x:c r="W28" s="82"/>
      <x:c r="X28" s="82"/>
      <x:c r="Y28" s="84" t="str">
        <x:f>IFERROR((COUNTIF(W28:X28,"☑ Implémenté")+COUNTIF(W28:X28,"☑ Oui")+0.5*COUNTIF(W28:X28,"◐ Partiel"))/(COUNTIF(W28:X28,"☑ Implémenté")+COUNTIF(W28:X28,"☑ Oui")+COUNTIF(W28:X28,"◐ Partiel")+COUNTIF(W28:X28,"☐ Non implémenté")+COUNTIF(W28:X28,"☐ Non")),"")</x:f>
      </x:c>
      <x:c r="Z28" s="82"/>
      <x:c r="AA28" s="82"/>
      <x:c r="AB28" s="82"/>
      <x:c r="AC28" s="82"/>
      <x:c r="AD28" s="82"/>
      <x:c r="AE28" s="82"/>
      <x:c r="AF28" s="82"/>
      <x:c r="AG28" s="84"/>
      <x:c r="AH28" s="82"/>
      <x:c r="AI28" s="82"/>
      <x:c r="AJ28" s="82"/>
      <x:c r="AK28" s="82"/>
      <x:c r="AL28" s="82"/>
      <x:c r="AM28" s="82"/>
      <x:c r="AN28" s="82"/>
      <x:c r="AO28" s="82"/>
      <x:c r="AP28" s="82"/>
      <x:c r="AQ28" s="82"/>
      <x:c r="AR28" s="82"/>
      <x:c r="AS28" s="82"/>
      <x:c r="AT28" s="82"/>
      <x:c r="AU28" s="82"/>
      <x:c r="AV28" s="82"/>
      <x:c r="AW28" s="82"/>
      <x:c r="AX28" s="82"/>
      <x:c r="AY28" s="82"/>
      <x:c r="AZ28" s="82"/>
      <x:c r="BA28" s="82"/>
      <x:c r="BB28" s="82"/>
      <x:c r="BC28" s="82"/>
      <x:c r="BD28" s="84" t="str">
        <x:f>IFERROR((COUNTIF(AZ28:BC28,"☑ Implémenté")+COUNTIF(AZ28:BC28,"☑ Oui")+0.5*COUNTIF(AZ28:BC28,"◐ Partiel"))/(COUNTIF(AZ28:BC28,"☑ Implémenté")+COUNTIF(AZ28:BC28,"☑ Oui")+COUNTIF(AZ28:BC28,"◐ Partiel")+COUNTIF(AZ28:BC28,"☐ Non implémenté")+COUNTIF(AZ28:BC28,"☐ Non")),"")</x:f>
      </x:c>
      <x:c r="BE28" s="84" t="str">
        <x:f>IFERROR((COUNTIF(H28:BD28,"☑ Implémenté")+COUNTIF(H28:BD28,"☑ Oui")+COUNTIF(H28:BD28,"DevOpsFundation")+0.5*COUNTIF(H28:BD28,"◐ Partiel"))/(COUNTIF(H28:BD28,"☑ Implémenté")+COUNTIF(H28:BD28,"☑ Oui")+COUNTIF(H28:BD28,"DevOpsFundation")+COUNTIF(H28:BD28,"◐ Partiel")+COUNTIF(H28:BD28,"☐ Non implémenté")+COUNTIF(H28:BD28,"☐ Non")),"")</x:f>
      </x:c>
      <x:c r="BF28" s="82" t="str">
        <x:f>IF(B28="","",COUNTIF(H28:BD28,"☐ Non implémenté")+COUNTIF(H28:BD28,"☐ Non")+COUNTIF(H28:BD28,"◐ Partiel"))</x:f>
      </x:c>
      <x:c r="BG28" s="82"/>
    </x:row>
    <x:row r="29">
      <x:c r="A29" s="82"/>
      <x:c r="B29" s="82"/>
      <x:c r="C29" s="82"/>
      <x:c r="D29" s="82"/>
      <x:c r="E29" s="82"/>
      <x:c r="F29" s="82"/>
      <x:c r="G29" s="82"/>
      <x:c r="H29" s="82"/>
      <x:c r="I29" s="82"/>
      <x:c r="J29" s="82"/>
      <x:c r="K29" s="82"/>
      <x:c r="L29" s="82"/>
      <x:c r="M29" s="82"/>
      <x:c r="N29" s="82"/>
      <x:c r="O29" s="82"/>
      <x:c r="P29" s="82"/>
      <x:c r="Q29" s="84" t="str">
        <x:f>IFERROR((COUNTIF(H29:P29,"☑ Implémenté")+COUNTIF(H29:P29,"☑ Oui")+0.5*COUNTIF(H29:P29,"◐ Partiel"))/(COUNTIF(H29:P29,"☑ Implémenté")+COUNTIF(H29:P29,"☑ Oui")+COUNTIF(H29:P29,"◐ Partiel")+COUNTIF(H29:P29,"☐ Non implémenté")+COUNTIF(H29:P29,"☐ Non")),"")</x:f>
      </x:c>
      <x:c r="R29" s="82"/>
      <x:c r="S29" s="82"/>
      <x:c r="T29" s="82"/>
      <x:c r="U29" s="82"/>
      <x:c r="V29" s="84" t="str">
        <x:f>IFERROR((COUNTIF(R29:U29,"☑ Implémenté")+COUNTIF(R29:U29,"☑ Oui")+0.5*COUNTIF(R29:U29,"◐ Partiel"))/(COUNTIF(R29:U29,"☑ Implémenté")+COUNTIF(R29:U29,"☑ Oui")+COUNTIF(R29:U29,"◐ Partiel")+COUNTIF(R29:U29,"☐ Non implémenté")+COUNTIF(R29:U29,"☐ Non")),"")</x:f>
      </x:c>
      <x:c r="W29" s="82"/>
      <x:c r="X29" s="82"/>
      <x:c r="Y29" s="84" t="str">
        <x:f>IFERROR((COUNTIF(W29:X29,"☑ Implémenté")+COUNTIF(W29:X29,"☑ Oui")+0.5*COUNTIF(W29:X29,"◐ Partiel"))/(COUNTIF(W29:X29,"☑ Implémenté")+COUNTIF(W29:X29,"☑ Oui")+COUNTIF(W29:X29,"◐ Partiel")+COUNTIF(W29:X29,"☐ Non implémenté")+COUNTIF(W29:X29,"☐ Non")),"")</x:f>
      </x:c>
      <x:c r="Z29" s="82"/>
      <x:c r="AA29" s="82"/>
      <x:c r="AB29" s="82"/>
      <x:c r="AC29" s="82"/>
      <x:c r="AD29" s="82"/>
      <x:c r="AE29" s="82"/>
      <x:c r="AF29" s="82"/>
      <x:c r="AG29" s="84"/>
      <x:c r="AH29" s="82"/>
      <x:c r="AI29" s="82"/>
      <x:c r="AJ29" s="82"/>
      <x:c r="AK29" s="82"/>
      <x:c r="AL29" s="82"/>
      <x:c r="AM29" s="82"/>
      <x:c r="AN29" s="82"/>
      <x:c r="AO29" s="82"/>
      <x:c r="AP29" s="82"/>
      <x:c r="AQ29" s="82"/>
      <x:c r="AR29" s="82"/>
      <x:c r="AS29" s="82"/>
      <x:c r="AT29" s="82"/>
      <x:c r="AU29" s="82"/>
      <x:c r="AV29" s="82"/>
      <x:c r="AW29" s="82"/>
      <x:c r="AX29" s="82"/>
      <x:c r="AY29" s="82"/>
      <x:c r="AZ29" s="82"/>
      <x:c r="BA29" s="82"/>
      <x:c r="BB29" s="82"/>
      <x:c r="BC29" s="82"/>
      <x:c r="BD29" s="84" t="str">
        <x:f>IFERROR((COUNTIF(AZ29:BC29,"☑ Implémenté")+COUNTIF(AZ29:BC29,"☑ Oui")+0.5*COUNTIF(AZ29:BC29,"◐ Partiel"))/(COUNTIF(AZ29:BC29,"☑ Implémenté")+COUNTIF(AZ29:BC29,"☑ Oui")+COUNTIF(AZ29:BC29,"◐ Partiel")+COUNTIF(AZ29:BC29,"☐ Non implémenté")+COUNTIF(AZ29:BC29,"☐ Non")),"")</x:f>
      </x:c>
      <x:c r="BE29" s="84" t="str">
        <x:f>IFERROR((COUNTIF(H29:BD29,"☑ Implémenté")+COUNTIF(H29:BD29,"☑ Oui")+COUNTIF(H29:BD29,"DevOpsFundation")+0.5*COUNTIF(H29:BD29,"◐ Partiel"))/(COUNTIF(H29:BD29,"☑ Implémenté")+COUNTIF(H29:BD29,"☑ Oui")+COUNTIF(H29:BD29,"DevOpsFundation")+COUNTIF(H29:BD29,"◐ Partiel")+COUNTIF(H29:BD29,"☐ Non implémenté")+COUNTIF(H29:BD29,"☐ Non")),"")</x:f>
      </x:c>
      <x:c r="BF29" s="82" t="str">
        <x:f>IF(B29="","",COUNTIF(H29:BD29,"☐ Non implémenté")+COUNTIF(H29:BD29,"☐ Non")+COUNTIF(H29:BD29,"◐ Partiel"))</x:f>
      </x:c>
      <x:c r="BG29" s="82"/>
    </x:row>
    <x:row r="30">
      <x:c r="A30" s="82"/>
      <x:c r="B30" s="82"/>
      <x:c r="C30" s="82"/>
      <x:c r="D30" s="82"/>
      <x:c r="E30" s="82"/>
      <x:c r="F30" s="82"/>
      <x:c r="G30" s="82"/>
      <x:c r="H30" s="82"/>
      <x:c r="I30" s="82"/>
      <x:c r="J30" s="82"/>
      <x:c r="K30" s="82"/>
      <x:c r="L30" s="82"/>
      <x:c r="M30" s="82"/>
      <x:c r="N30" s="82"/>
      <x:c r="O30" s="82"/>
      <x:c r="P30" s="82"/>
      <x:c r="Q30" s="84" t="str">
        <x:f>IFERROR((COUNTIF(H30:P30,"☑ Implémenté")+COUNTIF(H30:P30,"☑ Oui")+0.5*COUNTIF(H30:P30,"◐ Partiel"))/(COUNTIF(H30:P30,"☑ Implémenté")+COUNTIF(H30:P30,"☑ Oui")+COUNTIF(H30:P30,"◐ Partiel")+COUNTIF(H30:P30,"☐ Non implémenté")+COUNTIF(H30:P30,"☐ Non")),"")</x:f>
      </x:c>
      <x:c r="R30" s="82"/>
      <x:c r="S30" s="82"/>
      <x:c r="T30" s="82"/>
      <x:c r="U30" s="82"/>
      <x:c r="V30" s="84" t="str">
        <x:f>IFERROR((COUNTIF(R30:U30,"☑ Implémenté")+COUNTIF(R30:U30,"☑ Oui")+0.5*COUNTIF(R30:U30,"◐ Partiel"))/(COUNTIF(R30:U30,"☑ Implémenté")+COUNTIF(R30:U30,"☑ Oui")+COUNTIF(R30:U30,"◐ Partiel")+COUNTIF(R30:U30,"☐ Non implémenté")+COUNTIF(R30:U30,"☐ Non")),"")</x:f>
      </x:c>
      <x:c r="W30" s="82"/>
      <x:c r="X30" s="82"/>
      <x:c r="Y30" s="84" t="str">
        <x:f>IFERROR((COUNTIF(W30:X30,"☑ Implémenté")+COUNTIF(W30:X30,"☑ Oui")+0.5*COUNTIF(W30:X30,"◐ Partiel"))/(COUNTIF(W30:X30,"☑ Implémenté")+COUNTIF(W30:X30,"☑ Oui")+COUNTIF(W30:X30,"◐ Partiel")+COUNTIF(W30:X30,"☐ Non implémenté")+COUNTIF(W30:X30,"☐ Non")),"")</x:f>
      </x:c>
      <x:c r="Z30" s="82"/>
      <x:c r="AA30" s="82"/>
      <x:c r="AB30" s="82"/>
      <x:c r="AC30" s="82"/>
      <x:c r="AD30" s="82"/>
      <x:c r="AE30" s="82"/>
      <x:c r="AF30" s="82"/>
      <x:c r="AG30" s="84"/>
      <x:c r="AH30" s="82"/>
      <x:c r="AI30" s="82"/>
      <x:c r="AJ30" s="82"/>
      <x:c r="AK30" s="82"/>
      <x:c r="AL30" s="82"/>
      <x:c r="AM30" s="82"/>
      <x:c r="AN30" s="82"/>
      <x:c r="AO30" s="82"/>
      <x:c r="AP30" s="82"/>
      <x:c r="AQ30" s="82"/>
      <x:c r="AR30" s="82"/>
      <x:c r="AS30" s="82"/>
      <x:c r="AT30" s="82"/>
      <x:c r="AU30" s="82"/>
      <x:c r="AV30" s="82"/>
      <x:c r="AW30" s="82"/>
      <x:c r="AX30" s="82"/>
      <x:c r="AY30" s="82"/>
      <x:c r="AZ30" s="82"/>
      <x:c r="BA30" s="82"/>
      <x:c r="BB30" s="82"/>
      <x:c r="BC30" s="82"/>
      <x:c r="BD30" s="84" t="str">
        <x:f>IFERROR((COUNTIF(AZ30:BC30,"☑ Implémenté")+COUNTIF(AZ30:BC30,"☑ Oui")+0.5*COUNTIF(AZ30:BC30,"◐ Partiel"))/(COUNTIF(AZ30:BC30,"☑ Implémenté")+COUNTIF(AZ30:BC30,"☑ Oui")+COUNTIF(AZ30:BC30,"◐ Partiel")+COUNTIF(AZ30:BC30,"☐ Non implémenté")+COUNTIF(AZ30:BC30,"☐ Non")),"")</x:f>
      </x:c>
      <x:c r="BE30" s="84" t="str">
        <x:f>IFERROR((COUNTIF(H30:BD30,"☑ Implémenté")+COUNTIF(H30:BD30,"☑ Oui")+COUNTIF(H30:BD30,"DevOpsFundation")+0.5*COUNTIF(H30:BD30,"◐ Partiel"))/(COUNTIF(H30:BD30,"☑ Implémenté")+COUNTIF(H30:BD30,"☑ Oui")+COUNTIF(H30:BD30,"DevOpsFundation")+COUNTIF(H30:BD30,"◐ Partiel")+COUNTIF(H30:BD30,"☐ Non implémenté")+COUNTIF(H30:BD30,"☐ Non")),"")</x:f>
      </x:c>
      <x:c r="BF30" s="82" t="str">
        <x:f>IF(B30="","",COUNTIF(H30:BD30,"☐ Non implémenté")+COUNTIF(H30:BD30,"☐ Non")+COUNTIF(H30:BD30,"◐ Partiel"))</x:f>
      </x:c>
      <x:c r="BG30" s="82"/>
    </x:row>
    <x:row r="31">
      <x:c r="A31" s="82"/>
      <x:c r="B31" s="82"/>
      <x:c r="C31" s="82"/>
      <x:c r="D31" s="82"/>
      <x:c r="E31" s="82"/>
      <x:c r="F31" s="82"/>
      <x:c r="G31" s="82"/>
      <x:c r="H31" s="82"/>
      <x:c r="I31" s="82"/>
      <x:c r="J31" s="82"/>
      <x:c r="K31" s="82"/>
      <x:c r="L31" s="82"/>
      <x:c r="M31" s="82"/>
      <x:c r="N31" s="82"/>
      <x:c r="O31" s="82"/>
      <x:c r="P31" s="82"/>
      <x:c r="Q31" s="84" t="str">
        <x:f>IFERROR((COUNTIF(H31:P31,"☑ Implémenté")+COUNTIF(H31:P31,"☑ Oui")+0.5*COUNTIF(H31:P31,"◐ Partiel"))/(COUNTIF(H31:P31,"☑ Implémenté")+COUNTIF(H31:P31,"☑ Oui")+COUNTIF(H31:P31,"◐ Partiel")+COUNTIF(H31:P31,"☐ Non implémenté")+COUNTIF(H31:P31,"☐ Non")),"")</x:f>
      </x:c>
      <x:c r="R31" s="82"/>
      <x:c r="S31" s="82"/>
      <x:c r="T31" s="82"/>
      <x:c r="U31" s="82"/>
      <x:c r="V31" s="84" t="str">
        <x:f>IFERROR((COUNTIF(R31:U31,"☑ Implémenté")+COUNTIF(R31:U31,"☑ Oui")+0.5*COUNTIF(R31:U31,"◐ Partiel"))/(COUNTIF(R31:U31,"☑ Implémenté")+COUNTIF(R31:U31,"☑ Oui")+COUNTIF(R31:U31,"◐ Partiel")+COUNTIF(R31:U31,"☐ Non implémenté")+COUNTIF(R31:U31,"☐ Non")),"")</x:f>
      </x:c>
      <x:c r="W31" s="82"/>
      <x:c r="X31" s="82"/>
      <x:c r="Y31" s="84" t="str">
        <x:f>IFERROR((COUNTIF(W31:X31,"☑ Implémenté")+COUNTIF(W31:X31,"☑ Oui")+0.5*COUNTIF(W31:X31,"◐ Partiel"))/(COUNTIF(W31:X31,"☑ Implémenté")+COUNTIF(W31:X31,"☑ Oui")+COUNTIF(W31:X31,"◐ Partiel")+COUNTIF(W31:X31,"☐ Non implémenté")+COUNTIF(W31:X31,"☐ Non")),"")</x:f>
      </x:c>
      <x:c r="Z31" s="82"/>
      <x:c r="AA31" s="82"/>
      <x:c r="AB31" s="82"/>
      <x:c r="AC31" s="82"/>
      <x:c r="AD31" s="82"/>
      <x:c r="AE31" s="82"/>
      <x:c r="AF31" s="82"/>
      <x:c r="AG31" s="84"/>
      <x:c r="AH31" s="82"/>
      <x:c r="AI31" s="82"/>
      <x:c r="AJ31" s="82"/>
      <x:c r="AK31" s="82"/>
      <x:c r="AL31" s="82"/>
      <x:c r="AM31" s="82"/>
      <x:c r="AN31" s="82"/>
      <x:c r="AO31" s="82"/>
      <x:c r="AP31" s="82"/>
      <x:c r="AQ31" s="82"/>
      <x:c r="AR31" s="82"/>
      <x:c r="AS31" s="82"/>
      <x:c r="AT31" s="82"/>
      <x:c r="AU31" s="82"/>
      <x:c r="AV31" s="82"/>
      <x:c r="AW31" s="82"/>
      <x:c r="AX31" s="82"/>
      <x:c r="AY31" s="82"/>
      <x:c r="AZ31" s="82"/>
      <x:c r="BA31" s="82"/>
      <x:c r="BB31" s="82"/>
      <x:c r="BC31" s="82"/>
      <x:c r="BD31" s="84" t="str">
        <x:f>IFERROR((COUNTIF(AZ31:BC31,"☑ Implémenté")+COUNTIF(AZ31:BC31,"☑ Oui")+0.5*COUNTIF(AZ31:BC31,"◐ Partiel"))/(COUNTIF(AZ31:BC31,"☑ Implémenté")+COUNTIF(AZ31:BC31,"☑ Oui")+COUNTIF(AZ31:BC31,"◐ Partiel")+COUNTIF(AZ31:BC31,"☐ Non implémenté")+COUNTIF(AZ31:BC31,"☐ Non")),"")</x:f>
      </x:c>
      <x:c r="BE31" s="84" t="str">
        <x:f>IFERROR((COUNTIF(H31:BD31,"☑ Implémenté")+COUNTIF(H31:BD31,"☑ Oui")+COUNTIF(H31:BD31,"DevOpsFundation")+0.5*COUNTIF(H31:BD31,"◐ Partiel"))/(COUNTIF(H31:BD31,"☑ Implémenté")+COUNTIF(H31:BD31,"☑ Oui")+COUNTIF(H31:BD31,"DevOpsFundation")+COUNTIF(H31:BD31,"◐ Partiel")+COUNTIF(H31:BD31,"☐ Non implémenté")+COUNTIF(H31:BD31,"☐ Non")),"")</x:f>
      </x:c>
      <x:c r="BF31" s="82" t="str">
        <x:f>IF(B31="","",COUNTIF(H31:BD31,"☐ Non implémenté")+COUNTIF(H31:BD31,"☐ Non")+COUNTIF(H31:BD31,"◐ Partiel"))</x:f>
      </x:c>
      <x:c r="BG31" s="82"/>
    </x:row>
    <x:row r="32">
      <x:c r="A32" s="82"/>
      <x:c r="B32" s="82"/>
      <x:c r="C32" s="82"/>
      <x:c r="D32" s="82"/>
      <x:c r="E32" s="82"/>
      <x:c r="F32" s="82"/>
      <x:c r="G32" s="82"/>
      <x:c r="H32" s="82"/>
      <x:c r="I32" s="82"/>
      <x:c r="J32" s="82"/>
      <x:c r="K32" s="82"/>
      <x:c r="L32" s="82"/>
      <x:c r="M32" s="82"/>
      <x:c r="N32" s="82"/>
      <x:c r="O32" s="82"/>
      <x:c r="P32" s="82"/>
      <x:c r="Q32" s="84" t="str">
        <x:f>IFERROR((COUNTIF(H32:P32,"☑ Implémenté")+COUNTIF(H32:P32,"☑ Oui")+0.5*COUNTIF(H32:P32,"◐ Partiel"))/(COUNTIF(H32:P32,"☑ Implémenté")+COUNTIF(H32:P32,"☑ Oui")+COUNTIF(H32:P32,"◐ Partiel")+COUNTIF(H32:P32,"☐ Non implémenté")+COUNTIF(H32:P32,"☐ Non")),"")</x:f>
      </x:c>
      <x:c r="R32" s="82"/>
      <x:c r="S32" s="82"/>
      <x:c r="T32" s="82"/>
      <x:c r="U32" s="82"/>
      <x:c r="V32" s="84" t="str">
        <x:f>IFERROR((COUNTIF(R32:U32,"☑ Implémenté")+COUNTIF(R32:U32,"☑ Oui")+0.5*COUNTIF(R32:U32,"◐ Partiel"))/(COUNTIF(R32:U32,"☑ Implémenté")+COUNTIF(R32:U32,"☑ Oui")+COUNTIF(R32:U32,"◐ Partiel")+COUNTIF(R32:U32,"☐ Non implémenté")+COUNTIF(R32:U32,"☐ Non")),"")</x:f>
      </x:c>
      <x:c r="W32" s="82"/>
      <x:c r="X32" s="82"/>
      <x:c r="Y32" s="84" t="str">
        <x:f>IFERROR((COUNTIF(W32:X32,"☑ Implémenté")+COUNTIF(W32:X32,"☑ Oui")+0.5*COUNTIF(W32:X32,"◐ Partiel"))/(COUNTIF(W32:X32,"☑ Implémenté")+COUNTIF(W32:X32,"☑ Oui")+COUNTIF(W32:X32,"◐ Partiel")+COUNTIF(W32:X32,"☐ Non implémenté")+COUNTIF(W32:X32,"☐ Non")),"")</x:f>
      </x:c>
      <x:c r="Z32" s="82"/>
      <x:c r="AA32" s="82"/>
      <x:c r="AB32" s="82"/>
      <x:c r="AC32" s="82"/>
      <x:c r="AD32" s="82"/>
      <x:c r="AE32" s="82"/>
      <x:c r="AF32" s="82"/>
      <x:c r="AG32" s="84"/>
      <x:c r="AH32" s="82"/>
      <x:c r="AI32" s="82"/>
      <x:c r="AJ32" s="82"/>
      <x:c r="AK32" s="82"/>
      <x:c r="AL32" s="82"/>
      <x:c r="AM32" s="82"/>
      <x:c r="AN32" s="82"/>
      <x:c r="AO32" s="82"/>
      <x:c r="AP32" s="82"/>
      <x:c r="AQ32" s="82"/>
      <x:c r="AR32" s="82"/>
      <x:c r="AS32" s="82"/>
      <x:c r="AT32" s="82"/>
      <x:c r="AU32" s="82"/>
      <x:c r="AV32" s="82"/>
      <x:c r="AW32" s="82"/>
      <x:c r="AX32" s="82"/>
      <x:c r="AY32" s="82"/>
      <x:c r="AZ32" s="82"/>
      <x:c r="BA32" s="82"/>
      <x:c r="BB32" s="82"/>
      <x:c r="BC32" s="82"/>
      <x:c r="BD32" s="84" t="str">
        <x:f>IFERROR((COUNTIF(AZ32:BC32,"☑ Implémenté")+COUNTIF(AZ32:BC32,"☑ Oui")+0.5*COUNTIF(AZ32:BC32,"◐ Partiel"))/(COUNTIF(AZ32:BC32,"☑ Implémenté")+COUNTIF(AZ32:BC32,"☑ Oui")+COUNTIF(AZ32:BC32,"◐ Partiel")+COUNTIF(AZ32:BC32,"☐ Non implémenté")+COUNTIF(AZ32:BC32,"☐ Non")),"")</x:f>
      </x:c>
      <x:c r="BE32" s="84" t="str">
        <x:f>IFERROR((COUNTIF(H32:BD32,"☑ Implémenté")+COUNTIF(H32:BD32,"☑ Oui")+COUNTIF(H32:BD32,"DevOpsFundation")+0.5*COUNTIF(H32:BD32,"◐ Partiel"))/(COUNTIF(H32:BD32,"☑ Implémenté")+COUNTIF(H32:BD32,"☑ Oui")+COUNTIF(H32:BD32,"DevOpsFundation")+COUNTIF(H32:BD32,"◐ Partiel")+COUNTIF(H32:BD32,"☐ Non implémenté")+COUNTIF(H32:BD32,"☐ Non")),"")</x:f>
      </x:c>
      <x:c r="BF32" s="82" t="str">
        <x:f>IF(B32="","",COUNTIF(H32:BD32,"☐ Non implémenté")+COUNTIF(H32:BD32,"☐ Non")+COUNTIF(H32:BD32,"◐ Partiel"))</x:f>
      </x:c>
      <x:c r="BG32" s="82"/>
    </x:row>
    <x:row r="33">
      <x:c r="A33" s="82"/>
      <x:c r="B33" s="82"/>
      <x:c r="C33" s="82"/>
      <x:c r="D33" s="82"/>
      <x:c r="E33" s="82"/>
      <x:c r="F33" s="82"/>
      <x:c r="G33" s="82"/>
      <x:c r="H33" s="82"/>
      <x:c r="I33" s="82"/>
      <x:c r="J33" s="82"/>
      <x:c r="K33" s="82"/>
      <x:c r="L33" s="82"/>
      <x:c r="M33" s="82"/>
      <x:c r="N33" s="82"/>
      <x:c r="O33" s="82"/>
      <x:c r="P33" s="82"/>
      <x:c r="Q33" s="84" t="str">
        <x:f>IFERROR((COUNTIF(H33:P33,"☑ Implémenté")+COUNTIF(H33:P33,"☑ Oui")+0.5*COUNTIF(H33:P33,"◐ Partiel"))/(COUNTIF(H33:P33,"☑ Implémenté")+COUNTIF(H33:P33,"☑ Oui")+COUNTIF(H33:P33,"◐ Partiel")+COUNTIF(H33:P33,"☐ Non implémenté")+COUNTIF(H33:P33,"☐ Non")),"")</x:f>
      </x:c>
      <x:c r="R33" s="82"/>
      <x:c r="S33" s="82"/>
      <x:c r="T33" s="82"/>
      <x:c r="U33" s="82"/>
      <x:c r="V33" s="84" t="str">
        <x:f>IFERROR((COUNTIF(R33:U33,"☑ Implémenté")+COUNTIF(R33:U33,"☑ Oui")+0.5*COUNTIF(R33:U33,"◐ Partiel"))/(COUNTIF(R33:U33,"☑ Implémenté")+COUNTIF(R33:U33,"☑ Oui")+COUNTIF(R33:U33,"◐ Partiel")+COUNTIF(R33:U33,"☐ Non implémenté")+COUNTIF(R33:U33,"☐ Non")),"")</x:f>
      </x:c>
      <x:c r="W33" s="82"/>
      <x:c r="X33" s="82"/>
      <x:c r="Y33" s="84" t="str">
        <x:f>IFERROR((COUNTIF(W33:X33,"☑ Implémenté")+COUNTIF(W33:X33,"☑ Oui")+0.5*COUNTIF(W33:X33,"◐ Partiel"))/(COUNTIF(W33:X33,"☑ Implémenté")+COUNTIF(W33:X33,"☑ Oui")+COUNTIF(W33:X33,"◐ Partiel")+COUNTIF(W33:X33,"☐ Non implémenté")+COUNTIF(W33:X33,"☐ Non")),"")</x:f>
      </x:c>
      <x:c r="Z33" s="82"/>
      <x:c r="AA33" s="82"/>
      <x:c r="AB33" s="82"/>
      <x:c r="AC33" s="82"/>
      <x:c r="AD33" s="82"/>
      <x:c r="AE33" s="82"/>
      <x:c r="AF33" s="82"/>
      <x:c r="AG33" s="84"/>
      <x:c r="AH33" s="82"/>
      <x:c r="AI33" s="82"/>
      <x:c r="AJ33" s="82"/>
      <x:c r="AK33" s="82"/>
      <x:c r="AL33" s="82"/>
      <x:c r="AM33" s="82"/>
      <x:c r="AN33" s="82"/>
      <x:c r="AO33" s="82"/>
      <x:c r="AP33" s="82"/>
      <x:c r="AQ33" s="82"/>
      <x:c r="AR33" s="82"/>
      <x:c r="AS33" s="82"/>
      <x:c r="AT33" s="82"/>
      <x:c r="AU33" s="82"/>
      <x:c r="AV33" s="82"/>
      <x:c r="AW33" s="82"/>
      <x:c r="AX33" s="82"/>
      <x:c r="AY33" s="82"/>
      <x:c r="AZ33" s="82"/>
      <x:c r="BA33" s="82"/>
      <x:c r="BB33" s="82"/>
      <x:c r="BC33" s="82"/>
      <x:c r="BD33" s="84" t="str">
        <x:f>IFERROR((COUNTIF(AZ33:BC33,"☑ Implémenté")+COUNTIF(AZ33:BC33,"☑ Oui")+0.5*COUNTIF(AZ33:BC33,"◐ Partiel"))/(COUNTIF(AZ33:BC33,"☑ Implémenté")+COUNTIF(AZ33:BC33,"☑ Oui")+COUNTIF(AZ33:BC33,"◐ Partiel")+COUNTIF(AZ33:BC33,"☐ Non implémenté")+COUNTIF(AZ33:BC33,"☐ Non")),"")</x:f>
      </x:c>
      <x:c r="BE33" s="84" t="str">
        <x:f>IFERROR((COUNTIF(H33:BD33,"☑ Implémenté")+COUNTIF(H33:BD33,"☑ Oui")+COUNTIF(H33:BD33,"DevOpsFundation")+0.5*COUNTIF(H33:BD33,"◐ Partiel"))/(COUNTIF(H33:BD33,"☑ Implémenté")+COUNTIF(H33:BD33,"☑ Oui")+COUNTIF(H33:BD33,"DevOpsFundation")+COUNTIF(H33:BD33,"◐ Partiel")+COUNTIF(H33:BD33,"☐ Non implémenté")+COUNTIF(H33:BD33,"☐ Non")),"")</x:f>
      </x:c>
      <x:c r="BF33" s="82" t="str">
        <x:f>IF(B33="","",COUNTIF(H33:BD33,"☐ Non implémenté")+COUNTIF(H33:BD33,"☐ Non")+COUNTIF(H33:BD33,"◐ Partiel"))</x:f>
      </x:c>
      <x:c r="BG33" s="82"/>
    </x:row>
    <x:row r="34">
      <x:c r="A34" s="82"/>
      <x:c r="B34" s="82"/>
      <x:c r="C34" s="82"/>
      <x:c r="D34" s="82"/>
      <x:c r="E34" s="82"/>
      <x:c r="F34" s="82"/>
      <x:c r="G34" s="82"/>
      <x:c r="H34" s="82"/>
      <x:c r="I34" s="82"/>
      <x:c r="J34" s="82"/>
      <x:c r="K34" s="82"/>
      <x:c r="L34" s="82"/>
      <x:c r="M34" s="82"/>
      <x:c r="N34" s="82"/>
      <x:c r="O34" s="82"/>
      <x:c r="P34" s="82"/>
      <x:c r="Q34" s="84" t="str">
        <x:f>IFERROR((COUNTIF(H34:P34,"☑ Implémenté")+COUNTIF(H34:P34,"☑ Oui")+0.5*COUNTIF(H34:P34,"◐ Partiel"))/(COUNTIF(H34:P34,"☑ Implémenté")+COUNTIF(H34:P34,"☑ Oui")+COUNTIF(H34:P34,"◐ Partiel")+COUNTIF(H34:P34,"☐ Non implémenté")+COUNTIF(H34:P34,"☐ Non")),"")</x:f>
      </x:c>
      <x:c r="R34" s="82"/>
      <x:c r="S34" s="82"/>
      <x:c r="T34" s="82"/>
      <x:c r="U34" s="82"/>
      <x:c r="V34" s="84" t="str">
        <x:f>IFERROR((COUNTIF(R34:U34,"☑ Implémenté")+COUNTIF(R34:U34,"☑ Oui")+0.5*COUNTIF(R34:U34,"◐ Partiel"))/(COUNTIF(R34:U34,"☑ Implémenté")+COUNTIF(R34:U34,"☑ Oui")+COUNTIF(R34:U34,"◐ Partiel")+COUNTIF(R34:U34,"☐ Non implémenté")+COUNTIF(R34:U34,"☐ Non")),"")</x:f>
      </x:c>
      <x:c r="W34" s="82"/>
      <x:c r="X34" s="82"/>
      <x:c r="Y34" s="84" t="str">
        <x:f>IFERROR((COUNTIF(W34:X34,"☑ Implémenté")+COUNTIF(W34:X34,"☑ Oui")+0.5*COUNTIF(W34:X34,"◐ Partiel"))/(COUNTIF(W34:X34,"☑ Implémenté")+COUNTIF(W34:X34,"☑ Oui")+COUNTIF(W34:X34,"◐ Partiel")+COUNTIF(W34:X34,"☐ Non implémenté")+COUNTIF(W34:X34,"☐ Non")),"")</x:f>
      </x:c>
      <x:c r="Z34" s="82"/>
      <x:c r="AA34" s="82"/>
      <x:c r="AB34" s="82"/>
      <x:c r="AC34" s="82"/>
      <x:c r="AD34" s="82"/>
      <x:c r="AE34" s="82"/>
      <x:c r="AF34" s="82"/>
      <x:c r="AG34" s="84"/>
      <x:c r="AH34" s="82"/>
      <x:c r="AI34" s="82"/>
      <x:c r="AJ34" s="82"/>
      <x:c r="AK34" s="82"/>
      <x:c r="AL34" s="82"/>
      <x:c r="AM34" s="82"/>
      <x:c r="AN34" s="82"/>
      <x:c r="AO34" s="82"/>
      <x:c r="AP34" s="82"/>
      <x:c r="AQ34" s="82"/>
      <x:c r="AR34" s="82"/>
      <x:c r="AS34" s="82"/>
      <x:c r="AT34" s="82"/>
      <x:c r="AU34" s="82"/>
      <x:c r="AV34" s="82"/>
      <x:c r="AW34" s="82"/>
      <x:c r="AX34" s="82"/>
      <x:c r="AY34" s="82"/>
      <x:c r="AZ34" s="82"/>
      <x:c r="BA34" s="82"/>
      <x:c r="BB34" s="82"/>
      <x:c r="BC34" s="82"/>
      <x:c r="BD34" s="84" t="str">
        <x:f>IFERROR((COUNTIF(AZ34:BC34,"☑ Implémenté")+COUNTIF(AZ34:BC34,"☑ Oui")+0.5*COUNTIF(AZ34:BC34,"◐ Partiel"))/(COUNTIF(AZ34:BC34,"☑ Implémenté")+COUNTIF(AZ34:BC34,"☑ Oui")+COUNTIF(AZ34:BC34,"◐ Partiel")+COUNTIF(AZ34:BC34,"☐ Non implémenté")+COUNTIF(AZ34:BC34,"☐ Non")),"")</x:f>
      </x:c>
      <x:c r="BE34" s="84" t="str">
        <x:f>IFERROR((COUNTIF(H34:BD34,"☑ Implémenté")+COUNTIF(H34:BD34,"☑ Oui")+COUNTIF(H34:BD34,"DevOpsFundation")+0.5*COUNTIF(H34:BD34,"◐ Partiel"))/(COUNTIF(H34:BD34,"☑ Implémenté")+COUNTIF(H34:BD34,"☑ Oui")+COUNTIF(H34:BD34,"DevOpsFundation")+COUNTIF(H34:BD34,"◐ Partiel")+COUNTIF(H34:BD34,"☐ Non implémenté")+COUNTIF(H34:BD34,"☐ Non")),"")</x:f>
      </x:c>
      <x:c r="BF34" s="82" t="str">
        <x:f>IF(B34="","",COUNTIF(H34:BD34,"☐ Non implémenté")+COUNTIF(H34:BD34,"☐ Non")+COUNTIF(H34:BD34,"◐ Partiel"))</x:f>
      </x:c>
      <x:c r="BG34" s="82"/>
    </x:row>
    <x:row r="35">
      <x:c r="A35" s="82"/>
      <x:c r="B35" s="82"/>
      <x:c r="C35" s="82"/>
      <x:c r="D35" s="82"/>
      <x:c r="E35" s="82"/>
      <x:c r="F35" s="82"/>
      <x:c r="G35" s="82"/>
      <x:c r="H35" s="82"/>
      <x:c r="I35" s="82"/>
      <x:c r="J35" s="82"/>
      <x:c r="K35" s="82"/>
      <x:c r="L35" s="82"/>
      <x:c r="M35" s="82"/>
      <x:c r="N35" s="82"/>
      <x:c r="O35" s="82"/>
      <x:c r="P35" s="82"/>
      <x:c r="Q35" s="84" t="str">
        <x:f>IFERROR((COUNTIF(H35:P35,"☑ Implémenté")+COUNTIF(H35:P35,"☑ Oui")+0.5*COUNTIF(H35:P35,"◐ Partiel"))/(COUNTIF(H35:P35,"☑ Implémenté")+COUNTIF(H35:P35,"☑ Oui")+COUNTIF(H35:P35,"◐ Partiel")+COUNTIF(H35:P35,"☐ Non implémenté")+COUNTIF(H35:P35,"☐ Non")),"")</x:f>
      </x:c>
      <x:c r="R35" s="82"/>
      <x:c r="S35" s="82"/>
      <x:c r="T35" s="82"/>
      <x:c r="U35" s="82"/>
      <x:c r="V35" s="84" t="str">
        <x:f>IFERROR((COUNTIF(R35:U35,"☑ Implémenté")+COUNTIF(R35:U35,"☑ Oui")+0.5*COUNTIF(R35:U35,"◐ Partiel"))/(COUNTIF(R35:U35,"☑ Implémenté")+COUNTIF(R35:U35,"☑ Oui")+COUNTIF(R35:U35,"◐ Partiel")+COUNTIF(R35:U35,"☐ Non implémenté")+COUNTIF(R35:U35,"☐ Non")),"")</x:f>
      </x:c>
      <x:c r="W35" s="82"/>
      <x:c r="X35" s="82"/>
      <x:c r="Y35" s="84" t="str">
        <x:f>IFERROR((COUNTIF(W35:X35,"☑ Implémenté")+COUNTIF(W35:X35,"☑ Oui")+0.5*COUNTIF(W35:X35,"◐ Partiel"))/(COUNTIF(W35:X35,"☑ Implémenté")+COUNTIF(W35:X35,"☑ Oui")+COUNTIF(W35:X35,"◐ Partiel")+COUNTIF(W35:X35,"☐ Non implémenté")+COUNTIF(W35:X35,"☐ Non")),"")</x:f>
      </x:c>
      <x:c r="Z35" s="82"/>
      <x:c r="AA35" s="82"/>
      <x:c r="AB35" s="82"/>
      <x:c r="AC35" s="82"/>
      <x:c r="AD35" s="82"/>
      <x:c r="AE35" s="82"/>
      <x:c r="AF35" s="82"/>
      <x:c r="AG35" s="84"/>
      <x:c r="AH35" s="82"/>
      <x:c r="AI35" s="82"/>
      <x:c r="AJ35" s="82"/>
      <x:c r="AK35" s="82"/>
      <x:c r="AL35" s="82"/>
      <x:c r="AM35" s="82"/>
      <x:c r="AN35" s="82"/>
      <x:c r="AO35" s="82"/>
      <x:c r="AP35" s="82"/>
      <x:c r="AQ35" s="82"/>
      <x:c r="AR35" s="82"/>
      <x:c r="AS35" s="82"/>
      <x:c r="AT35" s="82"/>
      <x:c r="AU35" s="82"/>
      <x:c r="AV35" s="82"/>
      <x:c r="AW35" s="82"/>
      <x:c r="AX35" s="82"/>
      <x:c r="AY35" s="82"/>
      <x:c r="AZ35" s="82"/>
      <x:c r="BA35" s="82"/>
      <x:c r="BB35" s="82"/>
      <x:c r="BC35" s="82"/>
      <x:c r="BD35" s="84" t="str">
        <x:f>IFERROR((COUNTIF(AZ35:BC35,"☑ Implémenté")+COUNTIF(AZ35:BC35,"☑ Oui")+0.5*COUNTIF(AZ35:BC35,"◐ Partiel"))/(COUNTIF(AZ35:BC35,"☑ Implémenté")+COUNTIF(AZ35:BC35,"☑ Oui")+COUNTIF(AZ35:BC35,"◐ Partiel")+COUNTIF(AZ35:BC35,"☐ Non implémenté")+COUNTIF(AZ35:BC35,"☐ Non")),"")</x:f>
      </x:c>
      <x:c r="BE35" s="84" t="str">
        <x:f>IFERROR((COUNTIF(H35:BD35,"☑ Implémenté")+COUNTIF(H35:BD35,"☑ Oui")+COUNTIF(H35:BD35,"DevOpsFundation")+0.5*COUNTIF(H35:BD35,"◐ Partiel"))/(COUNTIF(H35:BD35,"☑ Implémenté")+COUNTIF(H35:BD35,"☑ Oui")+COUNTIF(H35:BD35,"DevOpsFundation")+COUNTIF(H35:BD35,"◐ Partiel")+COUNTIF(H35:BD35,"☐ Non implémenté")+COUNTIF(H35:BD35,"☐ Non")),"")</x:f>
      </x:c>
      <x:c r="BF35" s="82" t="str">
        <x:f>IF(B35="","",COUNTIF(H35:BD35,"☐ Non implémenté")+COUNTIF(H35:BD35,"☐ Non")+COUNTIF(H35:BD35,"◐ Partiel"))</x:f>
      </x:c>
      <x:c r="BG35" s="82"/>
    </x:row>
    <x:row r="36">
      <x:c r="A36" s="82"/>
      <x:c r="B36" s="82"/>
      <x:c r="C36" s="82"/>
      <x:c r="D36" s="82"/>
      <x:c r="E36" s="82"/>
      <x:c r="F36" s="82"/>
      <x:c r="G36" s="82"/>
      <x:c r="H36" s="82"/>
      <x:c r="I36" s="82"/>
      <x:c r="J36" s="82"/>
      <x:c r="K36" s="82"/>
      <x:c r="L36" s="82"/>
      <x:c r="M36" s="82"/>
      <x:c r="N36" s="82"/>
      <x:c r="O36" s="82"/>
      <x:c r="P36" s="82"/>
      <x:c r="Q36" s="84" t="str">
        <x:f>IFERROR((COUNTIF(H36:P36,"☑ Implémenté")+COUNTIF(H36:P36,"☑ Oui")+0.5*COUNTIF(H36:P36,"◐ Partiel"))/(COUNTIF(H36:P36,"☑ Implémenté")+COUNTIF(H36:P36,"☑ Oui")+COUNTIF(H36:P36,"◐ Partiel")+COUNTIF(H36:P36,"☐ Non implémenté")+COUNTIF(H36:P36,"☐ Non")),"")</x:f>
      </x:c>
      <x:c r="R36" s="82"/>
      <x:c r="S36" s="82"/>
      <x:c r="T36" s="82"/>
      <x:c r="U36" s="82"/>
      <x:c r="V36" s="84" t="str">
        <x:f>IFERROR((COUNTIF(R36:U36,"☑ Implémenté")+COUNTIF(R36:U36,"☑ Oui")+0.5*COUNTIF(R36:U36,"◐ Partiel"))/(COUNTIF(R36:U36,"☑ Implémenté")+COUNTIF(R36:U36,"☑ Oui")+COUNTIF(R36:U36,"◐ Partiel")+COUNTIF(R36:U36,"☐ Non implémenté")+COUNTIF(R36:U36,"☐ Non")),"")</x:f>
      </x:c>
      <x:c r="W36" s="82"/>
      <x:c r="X36" s="82"/>
      <x:c r="Y36" s="84" t="str">
        <x:f>IFERROR((COUNTIF(W36:X36,"☑ Implémenté")+COUNTIF(W36:X36,"☑ Oui")+0.5*COUNTIF(W36:X36,"◐ Partiel"))/(COUNTIF(W36:X36,"☑ Implémenté")+COUNTIF(W36:X36,"☑ Oui")+COUNTIF(W36:X36,"◐ Partiel")+COUNTIF(W36:X36,"☐ Non implémenté")+COUNTIF(W36:X36,"☐ Non")),"")</x:f>
      </x:c>
      <x:c r="Z36" s="82"/>
      <x:c r="AA36" s="82"/>
      <x:c r="AB36" s="82"/>
      <x:c r="AC36" s="82"/>
      <x:c r="AD36" s="82"/>
      <x:c r="AE36" s="82"/>
      <x:c r="AF36" s="82"/>
      <x:c r="AG36" s="84"/>
      <x:c r="AH36" s="82"/>
      <x:c r="AI36" s="82"/>
      <x:c r="AJ36" s="82"/>
      <x:c r="AK36" s="82"/>
      <x:c r="AL36" s="82"/>
      <x:c r="AM36" s="82"/>
      <x:c r="AN36" s="82"/>
      <x:c r="AO36" s="82"/>
      <x:c r="AP36" s="82"/>
      <x:c r="AQ36" s="82"/>
      <x:c r="AR36" s="82"/>
      <x:c r="AS36" s="82"/>
      <x:c r="AT36" s="82"/>
      <x:c r="AU36" s="82"/>
      <x:c r="AV36" s="82"/>
      <x:c r="AW36" s="82"/>
      <x:c r="AX36" s="82"/>
      <x:c r="AY36" s="82"/>
      <x:c r="AZ36" s="82"/>
      <x:c r="BA36" s="82"/>
      <x:c r="BB36" s="82"/>
      <x:c r="BC36" s="82"/>
      <x:c r="BD36" s="84" t="str">
        <x:f>IFERROR((COUNTIF(AZ36:BC36,"☑ Implémenté")+COUNTIF(AZ36:BC36,"☑ Oui")+0.5*COUNTIF(AZ36:BC36,"◐ Partiel"))/(COUNTIF(AZ36:BC36,"☑ Implémenté")+COUNTIF(AZ36:BC36,"☑ Oui")+COUNTIF(AZ36:BC36,"◐ Partiel")+COUNTIF(AZ36:BC36,"☐ Non implémenté")+COUNTIF(AZ36:BC36,"☐ Non")),"")</x:f>
      </x:c>
      <x:c r="BE36" s="84" t="str">
        <x:f>IFERROR((COUNTIF(H36:BD36,"☑ Implémenté")+COUNTIF(H36:BD36,"☑ Oui")+COUNTIF(H36:BD36,"DevOpsFundation")+0.5*COUNTIF(H36:BD36,"◐ Partiel"))/(COUNTIF(H36:BD36,"☑ Implémenté")+COUNTIF(H36:BD36,"☑ Oui")+COUNTIF(H36:BD36,"DevOpsFundation")+COUNTIF(H36:BD36,"◐ Partiel")+COUNTIF(H36:BD36,"☐ Non implémenté")+COUNTIF(H36:BD36,"☐ Non")),"")</x:f>
      </x:c>
      <x:c r="BF36" s="82" t="str">
        <x:f>IF(B36="","",COUNTIF(H36:BD36,"☐ Non implémenté")+COUNTIF(H36:BD36,"☐ Non")+COUNTIF(H36:BD36,"◐ Partiel"))</x:f>
      </x:c>
      <x:c r="BG36" s="82"/>
    </x:row>
    <x:row r="37">
      <x:c r="A37" s="82"/>
      <x:c r="B37" s="82"/>
      <x:c r="C37" s="82"/>
      <x:c r="D37" s="82"/>
      <x:c r="E37" s="82"/>
      <x:c r="F37" s="82"/>
      <x:c r="G37" s="82"/>
      <x:c r="H37" s="82"/>
      <x:c r="I37" s="82"/>
      <x:c r="J37" s="82"/>
      <x:c r="K37" s="82"/>
      <x:c r="L37" s="82"/>
      <x:c r="M37" s="82"/>
      <x:c r="N37" s="82"/>
      <x:c r="O37" s="82"/>
      <x:c r="P37" s="82"/>
      <x:c r="Q37" s="84" t="str">
        <x:f>IFERROR((COUNTIF(H37:P37,"☑ Implémenté")+COUNTIF(H37:P37,"☑ Oui")+0.5*COUNTIF(H37:P37,"◐ Partiel"))/(COUNTIF(H37:P37,"☑ Implémenté")+COUNTIF(H37:P37,"☑ Oui")+COUNTIF(H37:P37,"◐ Partiel")+COUNTIF(H37:P37,"☐ Non implémenté")+COUNTIF(H37:P37,"☐ Non")),"")</x:f>
      </x:c>
      <x:c r="R37" s="82"/>
      <x:c r="S37" s="82"/>
      <x:c r="T37" s="82"/>
      <x:c r="U37" s="82"/>
      <x:c r="V37" s="84" t="str">
        <x:f>IFERROR((COUNTIF(R37:U37,"☑ Implémenté")+COUNTIF(R37:U37,"☑ Oui")+0.5*COUNTIF(R37:U37,"◐ Partiel"))/(COUNTIF(R37:U37,"☑ Implémenté")+COUNTIF(R37:U37,"☑ Oui")+COUNTIF(R37:U37,"◐ Partiel")+COUNTIF(R37:U37,"☐ Non implémenté")+COUNTIF(R37:U37,"☐ Non")),"")</x:f>
      </x:c>
      <x:c r="W37" s="82"/>
      <x:c r="X37" s="82"/>
      <x:c r="Y37" s="84" t="str">
        <x:f>IFERROR((COUNTIF(W37:X37,"☑ Implémenté")+COUNTIF(W37:X37,"☑ Oui")+0.5*COUNTIF(W37:X37,"◐ Partiel"))/(COUNTIF(W37:X37,"☑ Implémenté")+COUNTIF(W37:X37,"☑ Oui")+COUNTIF(W37:X37,"◐ Partiel")+COUNTIF(W37:X37,"☐ Non implémenté")+COUNTIF(W37:X37,"☐ Non")),"")</x:f>
      </x:c>
      <x:c r="Z37" s="82"/>
      <x:c r="AA37" s="82"/>
      <x:c r="AB37" s="82"/>
      <x:c r="AC37" s="82"/>
      <x:c r="AD37" s="82"/>
      <x:c r="AE37" s="82"/>
      <x:c r="AF37" s="82"/>
      <x:c r="AG37" s="84"/>
      <x:c r="AH37" s="82"/>
      <x:c r="AI37" s="82"/>
      <x:c r="AJ37" s="82"/>
      <x:c r="AK37" s="82"/>
      <x:c r="AL37" s="82"/>
      <x:c r="AM37" s="82"/>
      <x:c r="AN37" s="82"/>
      <x:c r="AO37" s="82"/>
      <x:c r="AP37" s="82"/>
      <x:c r="AQ37" s="82"/>
      <x:c r="AR37" s="82"/>
      <x:c r="AS37" s="82"/>
      <x:c r="AT37" s="82"/>
      <x:c r="AU37" s="82"/>
      <x:c r="AV37" s="82"/>
      <x:c r="AW37" s="82"/>
      <x:c r="AX37" s="82"/>
      <x:c r="AY37" s="82"/>
      <x:c r="AZ37" s="82"/>
      <x:c r="BA37" s="82"/>
      <x:c r="BB37" s="82"/>
      <x:c r="BC37" s="82"/>
      <x:c r="BD37" s="84" t="str">
        <x:f>IFERROR((COUNTIF(AZ37:BC37,"☑ Implémenté")+COUNTIF(AZ37:BC37,"☑ Oui")+0.5*COUNTIF(AZ37:BC37,"◐ Partiel"))/(COUNTIF(AZ37:BC37,"☑ Implémenté")+COUNTIF(AZ37:BC37,"☑ Oui")+COUNTIF(AZ37:BC37,"◐ Partiel")+COUNTIF(AZ37:BC37,"☐ Non implémenté")+COUNTIF(AZ37:BC37,"☐ Non")),"")</x:f>
      </x:c>
      <x:c r="BE37" s="84" t="str">
        <x:f>IFERROR((COUNTIF(H37:BD37,"☑ Implémenté")+COUNTIF(H37:BD37,"☑ Oui")+COUNTIF(H37:BD37,"DevOpsFundation")+0.5*COUNTIF(H37:BD37,"◐ Partiel"))/(COUNTIF(H37:BD37,"☑ Implémenté")+COUNTIF(H37:BD37,"☑ Oui")+COUNTIF(H37:BD37,"DevOpsFundation")+COUNTIF(H37:BD37,"◐ Partiel")+COUNTIF(H37:BD37,"☐ Non implémenté")+COUNTIF(H37:BD37,"☐ Non")),"")</x:f>
      </x:c>
      <x:c r="BF37" s="82" t="str">
        <x:f>IF(B37="","",COUNTIF(H37:BD37,"☐ Non implémenté")+COUNTIF(H37:BD37,"☐ Non")+COUNTIF(H37:BD37,"◐ Partiel"))</x:f>
      </x:c>
      <x:c r="BG37" s="82"/>
    </x:row>
    <x:row r="38">
      <x:c r="A38" s="82"/>
      <x:c r="B38" s="82"/>
      <x:c r="C38" s="82"/>
      <x:c r="D38" s="82"/>
      <x:c r="E38" s="82"/>
      <x:c r="F38" s="82"/>
      <x:c r="G38" s="82"/>
      <x:c r="H38" s="82"/>
      <x:c r="I38" s="82"/>
      <x:c r="J38" s="82"/>
      <x:c r="K38" s="82"/>
      <x:c r="L38" s="82"/>
      <x:c r="M38" s="82"/>
      <x:c r="N38" s="82"/>
      <x:c r="O38" s="82"/>
      <x:c r="P38" s="82"/>
      <x:c r="Q38" s="84" t="str">
        <x:f>IFERROR((COUNTIF(H38:P38,"☑ Implémenté")+COUNTIF(H38:P38,"☑ Oui")+0.5*COUNTIF(H38:P38,"◐ Partiel"))/(COUNTIF(H38:P38,"☑ Implémenté")+COUNTIF(H38:P38,"☑ Oui")+COUNTIF(H38:P38,"◐ Partiel")+COUNTIF(H38:P38,"☐ Non implémenté")+COUNTIF(H38:P38,"☐ Non")),"")</x:f>
      </x:c>
      <x:c r="R38" s="82"/>
      <x:c r="S38" s="82"/>
      <x:c r="T38" s="82"/>
      <x:c r="U38" s="82"/>
      <x:c r="V38" s="84" t="str">
        <x:f>IFERROR((COUNTIF(R38:U38,"☑ Implémenté")+COUNTIF(R38:U38,"☑ Oui")+0.5*COUNTIF(R38:U38,"◐ Partiel"))/(COUNTIF(R38:U38,"☑ Implémenté")+COUNTIF(R38:U38,"☑ Oui")+COUNTIF(R38:U38,"◐ Partiel")+COUNTIF(R38:U38,"☐ Non implémenté")+COUNTIF(R38:U38,"☐ Non")),"")</x:f>
      </x:c>
      <x:c r="W38" s="82"/>
      <x:c r="X38" s="82"/>
      <x:c r="Y38" s="84" t="str">
        <x:f>IFERROR((COUNTIF(W38:X38,"☑ Implémenté")+COUNTIF(W38:X38,"☑ Oui")+0.5*COUNTIF(W38:X38,"◐ Partiel"))/(COUNTIF(W38:X38,"☑ Implémenté")+COUNTIF(W38:X38,"☑ Oui")+COUNTIF(W38:X38,"◐ Partiel")+COUNTIF(W38:X38,"☐ Non implémenté")+COUNTIF(W38:X38,"☐ Non")),"")</x:f>
      </x:c>
      <x:c r="Z38" s="82"/>
      <x:c r="AA38" s="82"/>
      <x:c r="AB38" s="82"/>
      <x:c r="AC38" s="82"/>
      <x:c r="AD38" s="82"/>
      <x:c r="AE38" s="82"/>
      <x:c r="AF38" s="82"/>
      <x:c r="AG38" s="84"/>
      <x:c r="AH38" s="82"/>
      <x:c r="AI38" s="82"/>
      <x:c r="AJ38" s="82"/>
      <x:c r="AK38" s="82"/>
      <x:c r="AL38" s="82"/>
      <x:c r="AM38" s="82"/>
      <x:c r="AN38" s="82"/>
      <x:c r="AO38" s="82"/>
      <x:c r="AP38" s="82"/>
      <x:c r="AQ38" s="82"/>
      <x:c r="AR38" s="82"/>
      <x:c r="AS38" s="82"/>
      <x:c r="AT38" s="82"/>
      <x:c r="AU38" s="82"/>
      <x:c r="AV38" s="82"/>
      <x:c r="AW38" s="82"/>
      <x:c r="AX38" s="82"/>
      <x:c r="AY38" s="82"/>
      <x:c r="AZ38" s="82"/>
      <x:c r="BA38" s="82"/>
      <x:c r="BB38" s="82"/>
      <x:c r="BC38" s="82"/>
      <x:c r="BD38" s="84" t="str">
        <x:f>IFERROR((COUNTIF(AZ38:BC38,"☑ Implémenté")+COUNTIF(AZ38:BC38,"☑ Oui")+0.5*COUNTIF(AZ38:BC38,"◐ Partiel"))/(COUNTIF(AZ38:BC38,"☑ Implémenté")+COUNTIF(AZ38:BC38,"☑ Oui")+COUNTIF(AZ38:BC38,"◐ Partiel")+COUNTIF(AZ38:BC38,"☐ Non implémenté")+COUNTIF(AZ38:BC38,"☐ Non")),"")</x:f>
      </x:c>
      <x:c r="BE38" s="84" t="str">
        <x:f>IFERROR((COUNTIF(H38:BD38,"☑ Implémenté")+COUNTIF(H38:BD38,"☑ Oui")+COUNTIF(H38:BD38,"DevOpsFundation")+0.5*COUNTIF(H38:BD38,"◐ Partiel"))/(COUNTIF(H38:BD38,"☑ Implémenté")+COUNTIF(H38:BD38,"☑ Oui")+COUNTIF(H38:BD38,"DevOpsFundation")+COUNTIF(H38:BD38,"◐ Partiel")+COUNTIF(H38:BD38,"☐ Non implémenté")+COUNTIF(H38:BD38,"☐ Non")),"")</x:f>
      </x:c>
      <x:c r="BF38" s="82" t="str">
        <x:f>IF(B38="","",COUNTIF(H38:BD38,"☐ Non implémenté")+COUNTIF(H38:BD38,"☐ Non")+COUNTIF(H38:BD38,"◐ Partiel"))</x:f>
      </x:c>
      <x:c r="BG38" s="82"/>
    </x:row>
    <x:row r="39">
      <x:c r="A39" s="82"/>
      <x:c r="B39" s="82"/>
      <x:c r="C39" s="82"/>
      <x:c r="D39" s="82"/>
      <x:c r="E39" s="82"/>
      <x:c r="F39" s="82"/>
      <x:c r="G39" s="82"/>
      <x:c r="H39" s="82"/>
      <x:c r="I39" s="82"/>
      <x:c r="J39" s="82"/>
      <x:c r="K39" s="82"/>
      <x:c r="L39" s="82"/>
      <x:c r="M39" s="82"/>
      <x:c r="N39" s="82"/>
      <x:c r="O39" s="82"/>
      <x:c r="P39" s="82"/>
      <x:c r="Q39" s="84" t="str">
        <x:f>IFERROR((COUNTIF(H39:P39,"☑ Implémenté")+COUNTIF(H39:P39,"☑ Oui")+0.5*COUNTIF(H39:P39,"◐ Partiel"))/(COUNTIF(H39:P39,"☑ Implémenté")+COUNTIF(H39:P39,"☑ Oui")+COUNTIF(H39:P39,"◐ Partiel")+COUNTIF(H39:P39,"☐ Non implémenté")+COUNTIF(H39:P39,"☐ Non")),"")</x:f>
      </x:c>
      <x:c r="R39" s="82"/>
      <x:c r="S39" s="82"/>
      <x:c r="T39" s="82"/>
      <x:c r="U39" s="82"/>
      <x:c r="V39" s="84" t="str">
        <x:f>IFERROR((COUNTIF(R39:U39,"☑ Implémenté")+COUNTIF(R39:U39,"☑ Oui")+0.5*COUNTIF(R39:U39,"◐ Partiel"))/(COUNTIF(R39:U39,"☑ Implémenté")+COUNTIF(R39:U39,"☑ Oui")+COUNTIF(R39:U39,"◐ Partiel")+COUNTIF(R39:U39,"☐ Non implémenté")+COUNTIF(R39:U39,"☐ Non")),"")</x:f>
      </x:c>
      <x:c r="W39" s="82"/>
      <x:c r="X39" s="82"/>
      <x:c r="Y39" s="84" t="str">
        <x:f>IFERROR((COUNTIF(W39:X39,"☑ Implémenté")+COUNTIF(W39:X39,"☑ Oui")+0.5*COUNTIF(W39:X39,"◐ Partiel"))/(COUNTIF(W39:X39,"☑ Implémenté")+COUNTIF(W39:X39,"☑ Oui")+COUNTIF(W39:X39,"◐ Partiel")+COUNTIF(W39:X39,"☐ Non implémenté")+COUNTIF(W39:X39,"☐ Non")),"")</x:f>
      </x:c>
      <x:c r="Z39" s="82"/>
      <x:c r="AA39" s="82"/>
      <x:c r="AB39" s="82"/>
      <x:c r="AC39" s="82"/>
      <x:c r="AD39" s="82"/>
      <x:c r="AE39" s="82"/>
      <x:c r="AF39" s="82"/>
      <x:c r="AG39" s="84"/>
      <x:c r="AH39" s="82"/>
      <x:c r="AI39" s="82"/>
      <x:c r="AJ39" s="82"/>
      <x:c r="AK39" s="82"/>
      <x:c r="AL39" s="82"/>
      <x:c r="AM39" s="82"/>
      <x:c r="AN39" s="82"/>
      <x:c r="AO39" s="82"/>
      <x:c r="AP39" s="82"/>
      <x:c r="AQ39" s="82"/>
      <x:c r="AR39" s="82"/>
      <x:c r="AS39" s="82"/>
      <x:c r="AT39" s="82"/>
      <x:c r="AU39" s="82"/>
      <x:c r="AV39" s="82"/>
      <x:c r="AW39" s="82"/>
      <x:c r="AX39" s="82"/>
      <x:c r="AY39" s="82"/>
      <x:c r="AZ39" s="82"/>
      <x:c r="BA39" s="82"/>
      <x:c r="BB39" s="82"/>
      <x:c r="BC39" s="82"/>
      <x:c r="BD39" s="84" t="str">
        <x:f>IFERROR((COUNTIF(AZ39:BC39,"☑ Implémenté")+COUNTIF(AZ39:BC39,"☑ Oui")+0.5*COUNTIF(AZ39:BC39,"◐ Partiel"))/(COUNTIF(AZ39:BC39,"☑ Implémenté")+COUNTIF(AZ39:BC39,"☑ Oui")+COUNTIF(AZ39:BC39,"◐ Partiel")+COUNTIF(AZ39:BC39,"☐ Non implémenté")+COUNTIF(AZ39:BC39,"☐ Non")),"")</x:f>
      </x:c>
      <x:c r="BE39" s="84" t="str">
        <x:f>IFERROR((COUNTIF(H39:BD39,"☑ Implémenté")+COUNTIF(H39:BD39,"☑ Oui")+COUNTIF(H39:BD39,"DevOpsFundation")+0.5*COUNTIF(H39:BD39,"◐ Partiel"))/(COUNTIF(H39:BD39,"☑ Implémenté")+COUNTIF(H39:BD39,"☑ Oui")+COUNTIF(H39:BD39,"DevOpsFundation")+COUNTIF(H39:BD39,"◐ Partiel")+COUNTIF(H39:BD39,"☐ Non implémenté")+COUNTIF(H39:BD39,"☐ Non")),"")</x:f>
      </x:c>
      <x:c r="BF39" s="82" t="str">
        <x:f>IF(B39="","",COUNTIF(H39:BD39,"☐ Non implémenté")+COUNTIF(H39:BD39,"☐ Non")+COUNTIF(H39:BD39,"◐ Partiel"))</x:f>
      </x:c>
      <x:c r="BG39" s="82"/>
    </x:row>
    <x:row r="40">
      <x:c r="A40" s="82"/>
      <x:c r="B40" s="82"/>
      <x:c r="C40" s="82"/>
      <x:c r="D40" s="82"/>
      <x:c r="E40" s="82"/>
      <x:c r="F40" s="82"/>
      <x:c r="G40" s="82"/>
      <x:c r="H40" s="82"/>
      <x:c r="I40" s="82"/>
      <x:c r="J40" s="82"/>
      <x:c r="K40" s="82"/>
      <x:c r="L40" s="82"/>
      <x:c r="M40" s="82"/>
      <x:c r="N40" s="82"/>
      <x:c r="O40" s="82"/>
      <x:c r="P40" s="82"/>
      <x:c r="Q40" s="84" t="str">
        <x:f>IFERROR((COUNTIF(H40:P40,"☑ Implémenté")+COUNTIF(H40:P40,"☑ Oui")+0.5*COUNTIF(H40:P40,"◐ Partiel"))/(COUNTIF(H40:P40,"☑ Implémenté")+COUNTIF(H40:P40,"☑ Oui")+COUNTIF(H40:P40,"◐ Partiel")+COUNTIF(H40:P40,"☐ Non implémenté")+COUNTIF(H40:P40,"☐ Non")),"")</x:f>
      </x:c>
      <x:c r="R40" s="82"/>
      <x:c r="S40" s="82"/>
      <x:c r="T40" s="82"/>
      <x:c r="U40" s="82"/>
      <x:c r="V40" s="84" t="str">
        <x:f>IFERROR((COUNTIF(R40:U40,"☑ Implémenté")+COUNTIF(R40:U40,"☑ Oui")+0.5*COUNTIF(R40:U40,"◐ Partiel"))/(COUNTIF(R40:U40,"☑ Implémenté")+COUNTIF(R40:U40,"☑ Oui")+COUNTIF(R40:U40,"◐ Partiel")+COUNTIF(R40:U40,"☐ Non implémenté")+COUNTIF(R40:U40,"☐ Non")),"")</x:f>
      </x:c>
      <x:c r="W40" s="82"/>
      <x:c r="X40" s="82"/>
      <x:c r="Y40" s="84" t="str">
        <x:f>IFERROR((COUNTIF(W40:X40,"☑ Implémenté")+COUNTIF(W40:X40,"☑ Oui")+0.5*COUNTIF(W40:X40,"◐ Partiel"))/(COUNTIF(W40:X40,"☑ Implémenté")+COUNTIF(W40:X40,"☑ Oui")+COUNTIF(W40:X40,"◐ Partiel")+COUNTIF(W40:X40,"☐ Non implémenté")+COUNTIF(W40:X40,"☐ Non")),"")</x:f>
      </x:c>
      <x:c r="Z40" s="82"/>
      <x:c r="AA40" s="82"/>
      <x:c r="AB40" s="82"/>
      <x:c r="AC40" s="82"/>
      <x:c r="AD40" s="82"/>
      <x:c r="AE40" s="82"/>
      <x:c r="AF40" s="82"/>
      <x:c r="AG40" s="84"/>
      <x:c r="AH40" s="82"/>
      <x:c r="AI40" s="82"/>
      <x:c r="AJ40" s="82"/>
      <x:c r="AK40" s="82"/>
      <x:c r="AL40" s="82"/>
      <x:c r="AM40" s="82"/>
      <x:c r="AN40" s="82"/>
      <x:c r="AO40" s="82"/>
      <x:c r="AP40" s="82"/>
      <x:c r="AQ40" s="82"/>
      <x:c r="AR40" s="82"/>
      <x:c r="AS40" s="82"/>
      <x:c r="AT40" s="82"/>
      <x:c r="AU40" s="82"/>
      <x:c r="AV40" s="82"/>
      <x:c r="AW40" s="82"/>
      <x:c r="AX40" s="82"/>
      <x:c r="AY40" s="82"/>
      <x:c r="AZ40" s="82"/>
      <x:c r="BA40" s="82"/>
      <x:c r="BB40" s="82"/>
      <x:c r="BC40" s="82"/>
      <x:c r="BD40" s="84" t="str">
        <x:f>IFERROR((COUNTIF(AZ40:BC40,"☑ Implémenté")+COUNTIF(AZ40:BC40,"☑ Oui")+0.5*COUNTIF(AZ40:BC40,"◐ Partiel"))/(COUNTIF(AZ40:BC40,"☑ Implémenté")+COUNTIF(AZ40:BC40,"☑ Oui")+COUNTIF(AZ40:BC40,"◐ Partiel")+COUNTIF(AZ40:BC40,"☐ Non implémenté")+COUNTIF(AZ40:BC40,"☐ Non")),"")</x:f>
      </x:c>
      <x:c r="BE40" s="84" t="str">
        <x:f>IFERROR((COUNTIF(H40:BD40,"☑ Implémenté")+COUNTIF(H40:BD40,"☑ Oui")+COUNTIF(H40:BD40,"DevOpsFundation")+0.5*COUNTIF(H40:BD40,"◐ Partiel"))/(COUNTIF(H40:BD40,"☑ Implémenté")+COUNTIF(H40:BD40,"☑ Oui")+COUNTIF(H40:BD40,"DevOpsFundation")+COUNTIF(H40:BD40,"◐ Partiel")+COUNTIF(H40:BD40,"☐ Non implémenté")+COUNTIF(H40:BD40,"☐ Non")),"")</x:f>
      </x:c>
      <x:c r="BF40" s="82" t="str">
        <x:f>IF(B40="","",COUNTIF(H40:BD40,"☐ Non implémenté")+COUNTIF(H40:BD40,"☐ Non")+COUNTIF(H40:BD40,"◐ Partiel"))</x:f>
      </x:c>
      <x:c r="BG40" s="82"/>
    </x:row>
    <x:row r="41">
      <x:c r="A41" s="82"/>
      <x:c r="B41" s="82"/>
      <x:c r="C41" s="82"/>
      <x:c r="D41" s="82"/>
      <x:c r="E41" s="82"/>
      <x:c r="F41" s="82"/>
      <x:c r="G41" s="82"/>
      <x:c r="H41" s="82"/>
      <x:c r="I41" s="82"/>
      <x:c r="J41" s="82"/>
      <x:c r="K41" s="82"/>
      <x:c r="L41" s="82"/>
      <x:c r="M41" s="82"/>
      <x:c r="N41" s="82"/>
      <x:c r="O41" s="82"/>
      <x:c r="P41" s="82"/>
      <x:c r="Q41" s="84" t="str">
        <x:f>IFERROR((COUNTIF(H41:P41,"☑ Implémenté")+COUNTIF(H41:P41,"☑ Oui")+0.5*COUNTIF(H41:P41,"◐ Partiel"))/(COUNTIF(H41:P41,"☑ Implémenté")+COUNTIF(H41:P41,"☑ Oui")+COUNTIF(H41:P41,"◐ Partiel")+COUNTIF(H41:P41,"☐ Non implémenté")+COUNTIF(H41:P41,"☐ Non")),"")</x:f>
      </x:c>
      <x:c r="R41" s="82"/>
      <x:c r="S41" s="82"/>
      <x:c r="T41" s="82"/>
      <x:c r="U41" s="82"/>
      <x:c r="V41" s="84" t="str">
        <x:f>IFERROR((COUNTIF(R41:U41,"☑ Implémenté")+COUNTIF(R41:U41,"☑ Oui")+0.5*COUNTIF(R41:U41,"◐ Partiel"))/(COUNTIF(R41:U41,"☑ Implémenté")+COUNTIF(R41:U41,"☑ Oui")+COUNTIF(R41:U41,"◐ Partiel")+COUNTIF(R41:U41,"☐ Non implémenté")+COUNTIF(R41:U41,"☐ Non")),"")</x:f>
      </x:c>
      <x:c r="W41" s="82"/>
      <x:c r="X41" s="82"/>
      <x:c r="Y41" s="84" t="str">
        <x:f>IFERROR((COUNTIF(W41:X41,"☑ Implémenté")+COUNTIF(W41:X41,"☑ Oui")+0.5*COUNTIF(W41:X41,"◐ Partiel"))/(COUNTIF(W41:X41,"☑ Implémenté")+COUNTIF(W41:X41,"☑ Oui")+COUNTIF(W41:X41,"◐ Partiel")+COUNTIF(W41:X41,"☐ Non implémenté")+COUNTIF(W41:X41,"☐ Non")),"")</x:f>
      </x:c>
      <x:c r="Z41" s="82"/>
      <x:c r="AA41" s="82"/>
      <x:c r="AB41" s="82"/>
      <x:c r="AC41" s="82"/>
      <x:c r="AD41" s="82"/>
      <x:c r="AE41" s="82"/>
      <x:c r="AF41" s="82"/>
      <x:c r="AG41" s="84"/>
      <x:c r="AH41" s="82"/>
      <x:c r="AI41" s="82"/>
      <x:c r="AJ41" s="82"/>
      <x:c r="AK41" s="82"/>
      <x:c r="AL41" s="82"/>
      <x:c r="AM41" s="82"/>
      <x:c r="AN41" s="82"/>
      <x:c r="AO41" s="82"/>
      <x:c r="AP41" s="82"/>
      <x:c r="AQ41" s="82"/>
      <x:c r="AR41" s="82"/>
      <x:c r="AS41" s="82"/>
      <x:c r="AT41" s="82"/>
      <x:c r="AU41" s="82"/>
      <x:c r="AV41" s="82"/>
      <x:c r="AW41" s="82"/>
      <x:c r="AX41" s="82"/>
      <x:c r="AY41" s="82"/>
      <x:c r="AZ41" s="82"/>
      <x:c r="BA41" s="82"/>
      <x:c r="BB41" s="82"/>
      <x:c r="BC41" s="82"/>
      <x:c r="BD41" s="84" t="str">
        <x:f>IFERROR((COUNTIF(AZ41:BC41,"☑ Implémenté")+COUNTIF(AZ41:BC41,"☑ Oui")+0.5*COUNTIF(AZ41:BC41,"◐ Partiel"))/(COUNTIF(AZ41:BC41,"☑ Implémenté")+COUNTIF(AZ41:BC41,"☑ Oui")+COUNTIF(AZ41:BC41,"◐ Partiel")+COUNTIF(AZ41:BC41,"☐ Non implémenté")+COUNTIF(AZ41:BC41,"☐ Non")),"")</x:f>
      </x:c>
      <x:c r="BE41" s="84" t="str">
        <x:f>IFERROR((COUNTIF(H41:BD41,"☑ Implémenté")+COUNTIF(H41:BD41,"☑ Oui")+COUNTIF(H41:BD41,"DevOpsFundation")+0.5*COUNTIF(H41:BD41,"◐ Partiel"))/(COUNTIF(H41:BD41,"☑ Implémenté")+COUNTIF(H41:BD41,"☑ Oui")+COUNTIF(H41:BD41,"DevOpsFundation")+COUNTIF(H41:BD41,"◐ Partiel")+COUNTIF(H41:BD41,"☐ Non implémenté")+COUNTIF(H41:BD41,"☐ Non")),"")</x:f>
      </x:c>
      <x:c r="BF41" s="82" t="str">
        <x:f>IF(B41="","",COUNTIF(H41:BD41,"☐ Non implémenté")+COUNTIF(H41:BD41,"☐ Non")+COUNTIF(H41:BD41,"◐ Partiel"))</x:f>
      </x:c>
      <x:c r="BG41" s="82"/>
    </x:row>
    <x:row r="42">
      <x:c r="A42" s="82"/>
      <x:c r="B42" s="82"/>
      <x:c r="C42" s="82"/>
      <x:c r="D42" s="82"/>
      <x:c r="E42" s="82"/>
      <x:c r="F42" s="82"/>
      <x:c r="G42" s="82"/>
      <x:c r="H42" s="82"/>
      <x:c r="I42" s="82"/>
      <x:c r="J42" s="82"/>
      <x:c r="K42" s="82"/>
      <x:c r="L42" s="82"/>
      <x:c r="M42" s="82"/>
      <x:c r="N42" s="82"/>
      <x:c r="O42" s="82"/>
      <x:c r="P42" s="82"/>
      <x:c r="Q42" s="84" t="str">
        <x:f>IFERROR((COUNTIF(H42:P42,"☑ Implémenté")+COUNTIF(H42:P42,"☑ Oui")+0.5*COUNTIF(H42:P42,"◐ Partiel"))/(COUNTIF(H42:P42,"☑ Implémenté")+COUNTIF(H42:P42,"☑ Oui")+COUNTIF(H42:P42,"◐ Partiel")+COUNTIF(H42:P42,"☐ Non implémenté")+COUNTIF(H42:P42,"☐ Non")),"")</x:f>
      </x:c>
      <x:c r="R42" s="82"/>
      <x:c r="S42" s="82"/>
      <x:c r="T42" s="82"/>
      <x:c r="U42" s="82"/>
      <x:c r="V42" s="84" t="str">
        <x:f>IFERROR((COUNTIF(R42:U42,"☑ Implémenté")+COUNTIF(R42:U42,"☑ Oui")+0.5*COUNTIF(R42:U42,"◐ Partiel"))/(COUNTIF(R42:U42,"☑ Implémenté")+COUNTIF(R42:U42,"☑ Oui")+COUNTIF(R42:U42,"◐ Partiel")+COUNTIF(R42:U42,"☐ Non implémenté")+COUNTIF(R42:U42,"☐ Non")),"")</x:f>
      </x:c>
      <x:c r="W42" s="82"/>
      <x:c r="X42" s="82"/>
      <x:c r="Y42" s="84" t="str">
        <x:f>IFERROR((COUNTIF(W42:X42,"☑ Implémenté")+COUNTIF(W42:X42,"☑ Oui")+0.5*COUNTIF(W42:X42,"◐ Partiel"))/(COUNTIF(W42:X42,"☑ Implémenté")+COUNTIF(W42:X42,"☑ Oui")+COUNTIF(W42:X42,"◐ Partiel")+COUNTIF(W42:X42,"☐ Non implémenté")+COUNTIF(W42:X42,"☐ Non")),"")</x:f>
      </x:c>
      <x:c r="Z42" s="82"/>
      <x:c r="AA42" s="82"/>
      <x:c r="AB42" s="82"/>
      <x:c r="AC42" s="82"/>
      <x:c r="AD42" s="82"/>
      <x:c r="AE42" s="82"/>
      <x:c r="AF42" s="82"/>
      <x:c r="AG42" s="84"/>
      <x:c r="AH42" s="82"/>
      <x:c r="AI42" s="82"/>
      <x:c r="AJ42" s="82"/>
      <x:c r="AK42" s="82"/>
      <x:c r="AL42" s="82"/>
      <x:c r="AM42" s="82"/>
      <x:c r="AN42" s="82"/>
      <x:c r="AO42" s="82"/>
      <x:c r="AP42" s="82"/>
      <x:c r="AQ42" s="82"/>
      <x:c r="AR42" s="82"/>
      <x:c r="AS42" s="82"/>
      <x:c r="AT42" s="82"/>
      <x:c r="AU42" s="82"/>
      <x:c r="AV42" s="82"/>
      <x:c r="AW42" s="82"/>
      <x:c r="AX42" s="82"/>
      <x:c r="AY42" s="82"/>
      <x:c r="AZ42" s="82"/>
      <x:c r="BA42" s="82"/>
      <x:c r="BB42" s="82"/>
      <x:c r="BC42" s="82"/>
      <x:c r="BD42" s="84" t="str">
        <x:f>IFERROR((COUNTIF(AZ42:BC42,"☑ Implémenté")+COUNTIF(AZ42:BC42,"☑ Oui")+0.5*COUNTIF(AZ42:BC42,"◐ Partiel"))/(COUNTIF(AZ42:BC42,"☑ Implémenté")+COUNTIF(AZ42:BC42,"☑ Oui")+COUNTIF(AZ42:BC42,"◐ Partiel")+COUNTIF(AZ42:BC42,"☐ Non implémenté")+COUNTIF(AZ42:BC42,"☐ Non")),"")</x:f>
      </x:c>
      <x:c r="BE42" s="84" t="str">
        <x:f>IFERROR((COUNTIF(H42:BD42,"☑ Implémenté")+COUNTIF(H42:BD42,"☑ Oui")+COUNTIF(H42:BD42,"DevOpsFundation")+0.5*COUNTIF(H42:BD42,"◐ Partiel"))/(COUNTIF(H42:BD42,"☑ Implémenté")+COUNTIF(H42:BD42,"☑ Oui")+COUNTIF(H42:BD42,"DevOpsFundation")+COUNTIF(H42:BD42,"◐ Partiel")+COUNTIF(H42:BD42,"☐ Non implémenté")+COUNTIF(H42:BD42,"☐ Non")),"")</x:f>
      </x:c>
      <x:c r="BF42" s="82" t="str">
        <x:f>IF(B42="","",COUNTIF(H42:BD42,"☐ Non implémenté")+COUNTIF(H42:BD42,"☐ Non")+COUNTIF(H42:BD42,"◐ Partiel"))</x:f>
      </x:c>
      <x:c r="BG42" s="82"/>
    </x:row>
    <x:row r="43">
      <x:c r="A43" s="82"/>
      <x:c r="B43" s="82"/>
      <x:c r="C43" s="82"/>
      <x:c r="D43" s="82"/>
      <x:c r="E43" s="82"/>
      <x:c r="F43" s="82"/>
      <x:c r="G43" s="82"/>
      <x:c r="H43" s="82"/>
      <x:c r="I43" s="82"/>
      <x:c r="J43" s="82"/>
      <x:c r="K43" s="82"/>
      <x:c r="L43" s="82"/>
      <x:c r="M43" s="82"/>
      <x:c r="N43" s="82"/>
      <x:c r="O43" s="82"/>
      <x:c r="P43" s="82"/>
      <x:c r="Q43" s="84" t="str">
        <x:f>IFERROR((COUNTIF(H43:P43,"☑ Implémenté")+COUNTIF(H43:P43,"☑ Oui")+0.5*COUNTIF(H43:P43,"◐ Partiel"))/(COUNTIF(H43:P43,"☑ Implémenté")+COUNTIF(H43:P43,"☑ Oui")+COUNTIF(H43:P43,"◐ Partiel")+COUNTIF(H43:P43,"☐ Non implémenté")+COUNTIF(H43:P43,"☐ Non")),"")</x:f>
      </x:c>
      <x:c r="R43" s="82"/>
      <x:c r="S43" s="82"/>
      <x:c r="T43" s="82"/>
      <x:c r="U43" s="82"/>
      <x:c r="V43" s="84" t="str">
        <x:f>IFERROR((COUNTIF(R43:U43,"☑ Implémenté")+COUNTIF(R43:U43,"☑ Oui")+0.5*COUNTIF(R43:U43,"◐ Partiel"))/(COUNTIF(R43:U43,"☑ Implémenté")+COUNTIF(R43:U43,"☑ Oui")+COUNTIF(R43:U43,"◐ Partiel")+COUNTIF(R43:U43,"☐ Non implémenté")+COUNTIF(R43:U43,"☐ Non")),"")</x:f>
      </x:c>
      <x:c r="W43" s="82"/>
      <x:c r="X43" s="82"/>
      <x:c r="Y43" s="84" t="str">
        <x:f>IFERROR((COUNTIF(W43:X43,"☑ Implémenté")+COUNTIF(W43:X43,"☑ Oui")+0.5*COUNTIF(W43:X43,"◐ Partiel"))/(COUNTIF(W43:X43,"☑ Implémenté")+COUNTIF(W43:X43,"☑ Oui")+COUNTIF(W43:X43,"◐ Partiel")+COUNTIF(W43:X43,"☐ Non implémenté")+COUNTIF(W43:X43,"☐ Non")),"")</x:f>
      </x:c>
      <x:c r="Z43" s="82"/>
      <x:c r="AA43" s="82"/>
      <x:c r="AB43" s="82"/>
      <x:c r="AC43" s="82"/>
      <x:c r="AD43" s="82"/>
      <x:c r="AE43" s="82"/>
      <x:c r="AF43" s="82"/>
      <x:c r="AG43" s="84"/>
      <x:c r="AH43" s="82"/>
      <x:c r="AI43" s="82"/>
      <x:c r="AJ43" s="82"/>
      <x:c r="AK43" s="82"/>
      <x:c r="AL43" s="82"/>
      <x:c r="AM43" s="82"/>
      <x:c r="AN43" s="82"/>
      <x:c r="AO43" s="82"/>
      <x:c r="AP43" s="82"/>
      <x:c r="AQ43" s="82"/>
      <x:c r="AR43" s="82"/>
      <x:c r="AS43" s="82"/>
      <x:c r="AT43" s="82"/>
      <x:c r="AU43" s="82"/>
      <x:c r="AV43" s="82"/>
      <x:c r="AW43" s="82"/>
      <x:c r="AX43" s="82"/>
      <x:c r="AY43" s="82"/>
      <x:c r="AZ43" s="82"/>
      <x:c r="BA43" s="82"/>
      <x:c r="BB43" s="82"/>
      <x:c r="BC43" s="82"/>
      <x:c r="BD43" s="84" t="str">
        <x:f>IFERROR((COUNTIF(AZ43:BC43,"☑ Implémenté")+COUNTIF(AZ43:BC43,"☑ Oui")+0.5*COUNTIF(AZ43:BC43,"◐ Partiel"))/(COUNTIF(AZ43:BC43,"☑ Implémenté")+COUNTIF(AZ43:BC43,"☑ Oui")+COUNTIF(AZ43:BC43,"◐ Partiel")+COUNTIF(AZ43:BC43,"☐ Non implémenté")+COUNTIF(AZ43:BC43,"☐ Non")),"")</x:f>
      </x:c>
      <x:c r="BE43" s="84" t="str">
        <x:f>IFERROR((COUNTIF(H43:BD43,"☑ Implémenté")+COUNTIF(H43:BD43,"☑ Oui")+COUNTIF(H43:BD43,"DevOpsFundation")+0.5*COUNTIF(H43:BD43,"◐ Partiel"))/(COUNTIF(H43:BD43,"☑ Implémenté")+COUNTIF(H43:BD43,"☑ Oui")+COUNTIF(H43:BD43,"DevOpsFundation")+COUNTIF(H43:BD43,"◐ Partiel")+COUNTIF(H43:BD43,"☐ Non implémenté")+COUNTIF(H43:BD43,"☐ Non")),"")</x:f>
      </x:c>
      <x:c r="BF43" s="82" t="str">
        <x:f>IF(B43="","",COUNTIF(H43:BD43,"☐ Non implémenté")+COUNTIF(H43:BD43,"☐ Non")+COUNTIF(H43:BD43,"◐ Partiel"))</x:f>
      </x:c>
      <x:c r="BG43" s="82"/>
    </x:row>
    <x:row r="44">
      <x:c r="A44" s="82"/>
      <x:c r="B44" s="82"/>
      <x:c r="C44" s="82"/>
      <x:c r="D44" s="82"/>
      <x:c r="E44" s="82"/>
      <x:c r="F44" s="82"/>
      <x:c r="G44" s="82"/>
      <x:c r="H44" s="82"/>
      <x:c r="I44" s="82"/>
      <x:c r="J44" s="82"/>
      <x:c r="K44" s="82"/>
      <x:c r="L44" s="82"/>
      <x:c r="M44" s="82"/>
      <x:c r="N44" s="82"/>
      <x:c r="O44" s="82"/>
      <x:c r="P44" s="82"/>
      <x:c r="Q44" s="84" t="str">
        <x:f>IFERROR((COUNTIF(H44:P44,"☑ Implémenté")+COUNTIF(H44:P44,"☑ Oui")+0.5*COUNTIF(H44:P44,"◐ Partiel"))/(COUNTIF(H44:P44,"☑ Implémenté")+COUNTIF(H44:P44,"☑ Oui")+COUNTIF(H44:P44,"◐ Partiel")+COUNTIF(H44:P44,"☐ Non implémenté")+COUNTIF(H44:P44,"☐ Non")),"")</x:f>
      </x:c>
      <x:c r="R44" s="82"/>
      <x:c r="S44" s="82"/>
      <x:c r="T44" s="82"/>
      <x:c r="U44" s="82"/>
      <x:c r="V44" s="84" t="str">
        <x:f>IFERROR((COUNTIF(R44:U44,"☑ Implémenté")+COUNTIF(R44:U44,"☑ Oui")+0.5*COUNTIF(R44:U44,"◐ Partiel"))/(COUNTIF(R44:U44,"☑ Implémenté")+COUNTIF(R44:U44,"☑ Oui")+COUNTIF(R44:U44,"◐ Partiel")+COUNTIF(R44:U44,"☐ Non implémenté")+COUNTIF(R44:U44,"☐ Non")),"")</x:f>
      </x:c>
      <x:c r="W44" s="82"/>
      <x:c r="X44" s="82"/>
      <x:c r="Y44" s="84" t="str">
        <x:f>IFERROR((COUNTIF(W44:X44,"☑ Implémenté")+COUNTIF(W44:X44,"☑ Oui")+0.5*COUNTIF(W44:X44,"◐ Partiel"))/(COUNTIF(W44:X44,"☑ Implémenté")+COUNTIF(W44:X44,"☑ Oui")+COUNTIF(W44:X44,"◐ Partiel")+COUNTIF(W44:X44,"☐ Non implémenté")+COUNTIF(W44:X44,"☐ Non")),"")</x:f>
      </x:c>
      <x:c r="Z44" s="82"/>
      <x:c r="AA44" s="82"/>
      <x:c r="AB44" s="82"/>
      <x:c r="AC44" s="82"/>
      <x:c r="AD44" s="82"/>
      <x:c r="AE44" s="82"/>
      <x:c r="AF44" s="82"/>
      <x:c r="AG44" s="84"/>
      <x:c r="AH44" s="82"/>
      <x:c r="AI44" s="82"/>
      <x:c r="AJ44" s="82"/>
      <x:c r="AK44" s="82"/>
      <x:c r="AL44" s="82"/>
      <x:c r="AM44" s="82"/>
      <x:c r="AN44" s="82"/>
      <x:c r="AO44" s="82"/>
      <x:c r="AP44" s="82"/>
      <x:c r="AQ44" s="82"/>
      <x:c r="AR44" s="82"/>
      <x:c r="AS44" s="82"/>
      <x:c r="AT44" s="82"/>
      <x:c r="AU44" s="82"/>
      <x:c r="AV44" s="82"/>
      <x:c r="AW44" s="82"/>
      <x:c r="AX44" s="82"/>
      <x:c r="AY44" s="82"/>
      <x:c r="AZ44" s="82"/>
      <x:c r="BA44" s="82"/>
      <x:c r="BB44" s="82"/>
      <x:c r="BC44" s="82"/>
      <x:c r="BD44" s="84" t="str">
        <x:f>IFERROR((COUNTIF(AZ44:BC44,"☑ Implémenté")+COUNTIF(AZ44:BC44,"☑ Oui")+0.5*COUNTIF(AZ44:BC44,"◐ Partiel"))/(COUNTIF(AZ44:BC44,"☑ Implémenté")+COUNTIF(AZ44:BC44,"☑ Oui")+COUNTIF(AZ44:BC44,"◐ Partiel")+COUNTIF(AZ44:BC44,"☐ Non implémenté")+COUNTIF(AZ44:BC44,"☐ Non")),"")</x:f>
      </x:c>
      <x:c r="BE44" s="84" t="str">
        <x:f>IFERROR((COUNTIF(H44:BD44,"☑ Implémenté")+COUNTIF(H44:BD44,"☑ Oui")+COUNTIF(H44:BD44,"DevOpsFundation")+0.5*COUNTIF(H44:BD44,"◐ Partiel"))/(COUNTIF(H44:BD44,"☑ Implémenté")+COUNTIF(H44:BD44,"☑ Oui")+COUNTIF(H44:BD44,"DevOpsFundation")+COUNTIF(H44:BD44,"◐ Partiel")+COUNTIF(H44:BD44,"☐ Non implémenté")+COUNTIF(H44:BD44,"☐ Non")),"")</x:f>
      </x:c>
      <x:c r="BF44" s="82" t="str">
        <x:f>IF(B44="","",COUNTIF(H44:BD44,"☐ Non implémenté")+COUNTIF(H44:BD44,"☐ Non")+COUNTIF(H44:BD44,"◐ Partiel"))</x:f>
      </x:c>
      <x:c r="BG44" s="82"/>
    </x:row>
    <x:row r="45">
      <x:c r="A45" s="82"/>
      <x:c r="B45" s="82"/>
      <x:c r="C45" s="82"/>
      <x:c r="D45" s="82"/>
      <x:c r="E45" s="82"/>
      <x:c r="F45" s="82"/>
      <x:c r="G45" s="82"/>
      <x:c r="H45" s="82"/>
      <x:c r="I45" s="82"/>
      <x:c r="J45" s="82"/>
      <x:c r="K45" s="82"/>
      <x:c r="L45" s="82"/>
      <x:c r="M45" s="82"/>
      <x:c r="N45" s="82"/>
      <x:c r="O45" s="82"/>
      <x:c r="P45" s="82"/>
      <x:c r="Q45" s="84" t="str">
        <x:f>IFERROR((COUNTIF(H45:P45,"☑ Implémenté")+COUNTIF(H45:P45,"☑ Oui")+0.5*COUNTIF(H45:P45,"◐ Partiel"))/(COUNTIF(H45:P45,"☑ Implémenté")+COUNTIF(H45:P45,"☑ Oui")+COUNTIF(H45:P45,"◐ Partiel")+COUNTIF(H45:P45,"☐ Non implémenté")+COUNTIF(H45:P45,"☐ Non")),"")</x:f>
      </x:c>
      <x:c r="R45" s="82"/>
      <x:c r="S45" s="82"/>
      <x:c r="T45" s="82"/>
      <x:c r="U45" s="82"/>
      <x:c r="V45" s="84" t="str">
        <x:f>IFERROR((COUNTIF(R45:U45,"☑ Implémenté")+COUNTIF(R45:U45,"☑ Oui")+0.5*COUNTIF(R45:U45,"◐ Partiel"))/(COUNTIF(R45:U45,"☑ Implémenté")+COUNTIF(R45:U45,"☑ Oui")+COUNTIF(R45:U45,"◐ Partiel")+COUNTIF(R45:U45,"☐ Non implémenté")+COUNTIF(R45:U45,"☐ Non")),"")</x:f>
      </x:c>
      <x:c r="W45" s="82"/>
      <x:c r="X45" s="82"/>
      <x:c r="Y45" s="84" t="str">
        <x:f>IFERROR((COUNTIF(W45:X45,"☑ Implémenté")+COUNTIF(W45:X45,"☑ Oui")+0.5*COUNTIF(W45:X45,"◐ Partiel"))/(COUNTIF(W45:X45,"☑ Implémenté")+COUNTIF(W45:X45,"☑ Oui")+COUNTIF(W45:X45,"◐ Partiel")+COUNTIF(W45:X45,"☐ Non implémenté")+COUNTIF(W45:X45,"☐ Non")),"")</x:f>
      </x:c>
      <x:c r="Z45" s="82"/>
      <x:c r="AA45" s="82"/>
      <x:c r="AB45" s="82"/>
      <x:c r="AC45" s="82"/>
      <x:c r="AD45" s="82"/>
      <x:c r="AE45" s="82"/>
      <x:c r="AF45" s="82"/>
      <x:c r="AG45" s="84"/>
      <x:c r="AH45" s="82"/>
      <x:c r="AI45" s="82"/>
      <x:c r="AJ45" s="82"/>
      <x:c r="AK45" s="82"/>
      <x:c r="AL45" s="82"/>
      <x:c r="AM45" s="82"/>
      <x:c r="AN45" s="82"/>
      <x:c r="AO45" s="82"/>
      <x:c r="AP45" s="82"/>
      <x:c r="AQ45" s="82"/>
      <x:c r="AR45" s="82"/>
      <x:c r="AS45" s="82"/>
      <x:c r="AT45" s="82"/>
      <x:c r="AU45" s="82"/>
      <x:c r="AV45" s="82"/>
      <x:c r="AW45" s="82"/>
      <x:c r="AX45" s="82"/>
      <x:c r="AY45" s="82"/>
      <x:c r="AZ45" s="82"/>
      <x:c r="BA45" s="82"/>
      <x:c r="BB45" s="82"/>
      <x:c r="BC45" s="82"/>
      <x:c r="BD45" s="84" t="str">
        <x:f>IFERROR((COUNTIF(AZ45:BC45,"☑ Implémenté")+COUNTIF(AZ45:BC45,"☑ Oui")+0.5*COUNTIF(AZ45:BC45,"◐ Partiel"))/(COUNTIF(AZ45:BC45,"☑ Implémenté")+COUNTIF(AZ45:BC45,"☑ Oui")+COUNTIF(AZ45:BC45,"◐ Partiel")+COUNTIF(AZ45:BC45,"☐ Non implémenté")+COUNTIF(AZ45:BC45,"☐ Non")),"")</x:f>
      </x:c>
      <x:c r="BE45" s="84" t="str">
        <x:f>IFERROR((COUNTIF(H45:BD45,"☑ Implémenté")+COUNTIF(H45:BD45,"☑ Oui")+COUNTIF(H45:BD45,"DevOpsFundation")+0.5*COUNTIF(H45:BD45,"◐ Partiel"))/(COUNTIF(H45:BD45,"☑ Implémenté")+COUNTIF(H45:BD45,"☑ Oui")+COUNTIF(H45:BD45,"DevOpsFundation")+COUNTIF(H45:BD45,"◐ Partiel")+COUNTIF(H45:BD45,"☐ Non implémenté")+COUNTIF(H45:BD45,"☐ Non")),"")</x:f>
      </x:c>
      <x:c r="BF45" s="82" t="str">
        <x:f>IF(B45="","",COUNTIF(H45:BD45,"☐ Non implémenté")+COUNTIF(H45:BD45,"☐ Non")+COUNTIF(H45:BD45,"◐ Partiel"))</x:f>
      </x:c>
      <x:c r="BG45" s="82"/>
    </x:row>
    <x:row r="46">
      <x:c r="A46" s="82"/>
      <x:c r="B46" s="82"/>
      <x:c r="C46" s="82"/>
      <x:c r="D46" s="82"/>
      <x:c r="E46" s="82"/>
      <x:c r="F46" s="82"/>
      <x:c r="G46" s="82"/>
      <x:c r="H46" s="82"/>
      <x:c r="I46" s="82"/>
      <x:c r="J46" s="82"/>
      <x:c r="K46" s="82"/>
      <x:c r="L46" s="82"/>
      <x:c r="M46" s="82"/>
      <x:c r="N46" s="82"/>
      <x:c r="O46" s="82"/>
      <x:c r="P46" s="82"/>
      <x:c r="Q46" s="84" t="str">
        <x:f>IFERROR((COUNTIF(H46:P46,"☑ Implémenté")+COUNTIF(H46:P46,"☑ Oui")+0.5*COUNTIF(H46:P46,"◐ Partiel"))/(COUNTIF(H46:P46,"☑ Implémenté")+COUNTIF(H46:P46,"☑ Oui")+COUNTIF(H46:P46,"◐ Partiel")+COUNTIF(H46:P46,"☐ Non implémenté")+COUNTIF(H46:P46,"☐ Non")),"")</x:f>
      </x:c>
      <x:c r="R46" s="82"/>
      <x:c r="S46" s="82"/>
      <x:c r="T46" s="82"/>
      <x:c r="U46" s="82"/>
      <x:c r="V46" s="84" t="str">
        <x:f>IFERROR((COUNTIF(R46:U46,"☑ Implémenté")+COUNTIF(R46:U46,"☑ Oui")+0.5*COUNTIF(R46:U46,"◐ Partiel"))/(COUNTIF(R46:U46,"☑ Implémenté")+COUNTIF(R46:U46,"☑ Oui")+COUNTIF(R46:U46,"◐ Partiel")+COUNTIF(R46:U46,"☐ Non implémenté")+COUNTIF(R46:U46,"☐ Non")),"")</x:f>
      </x:c>
      <x:c r="W46" s="82"/>
      <x:c r="X46" s="82"/>
      <x:c r="Y46" s="84" t="str">
        <x:f>IFERROR((COUNTIF(W46:X46,"☑ Implémenté")+COUNTIF(W46:X46,"☑ Oui")+0.5*COUNTIF(W46:X46,"◐ Partiel"))/(COUNTIF(W46:X46,"☑ Implémenté")+COUNTIF(W46:X46,"☑ Oui")+COUNTIF(W46:X46,"◐ Partiel")+COUNTIF(W46:X46,"☐ Non implémenté")+COUNTIF(W46:X46,"☐ Non")),"")</x:f>
      </x:c>
      <x:c r="Z46" s="82"/>
      <x:c r="AA46" s="82"/>
      <x:c r="AB46" s="82"/>
      <x:c r="AC46" s="82"/>
      <x:c r="AD46" s="82"/>
      <x:c r="AE46" s="82"/>
      <x:c r="AF46" s="82"/>
      <x:c r="AG46" s="84"/>
      <x:c r="AH46" s="82"/>
      <x:c r="AI46" s="82"/>
      <x:c r="AJ46" s="82"/>
      <x:c r="AK46" s="82"/>
      <x:c r="AL46" s="82"/>
      <x:c r="AM46" s="82"/>
      <x:c r="AN46" s="82"/>
      <x:c r="AO46" s="82"/>
      <x:c r="AP46" s="82"/>
      <x:c r="AQ46" s="82"/>
      <x:c r="AR46" s="82"/>
      <x:c r="AS46" s="82"/>
      <x:c r="AT46" s="82"/>
      <x:c r="AU46" s="82"/>
      <x:c r="AV46" s="82"/>
      <x:c r="AW46" s="82"/>
      <x:c r="AX46" s="82"/>
      <x:c r="AY46" s="82"/>
      <x:c r="AZ46" s="82"/>
      <x:c r="BA46" s="82"/>
      <x:c r="BB46" s="82"/>
      <x:c r="BC46" s="82"/>
      <x:c r="BD46" s="84" t="str">
        <x:f>IFERROR((COUNTIF(AZ46:BC46,"☑ Implémenté")+COUNTIF(AZ46:BC46,"☑ Oui")+0.5*COUNTIF(AZ46:BC46,"◐ Partiel"))/(COUNTIF(AZ46:BC46,"☑ Implémenté")+COUNTIF(AZ46:BC46,"☑ Oui")+COUNTIF(AZ46:BC46,"◐ Partiel")+COUNTIF(AZ46:BC46,"☐ Non implémenté")+COUNTIF(AZ46:BC46,"☐ Non")),"")</x:f>
      </x:c>
      <x:c r="BE46" s="84" t="str">
        <x:f>IFERROR((COUNTIF(H46:BD46,"☑ Implémenté")+COUNTIF(H46:BD46,"☑ Oui")+COUNTIF(H46:BD46,"DevOpsFundation")+0.5*COUNTIF(H46:BD46,"◐ Partiel"))/(COUNTIF(H46:BD46,"☑ Implémenté")+COUNTIF(H46:BD46,"☑ Oui")+COUNTIF(H46:BD46,"DevOpsFundation")+COUNTIF(H46:BD46,"◐ Partiel")+COUNTIF(H46:BD46,"☐ Non implémenté")+COUNTIF(H46:BD46,"☐ Non")),"")</x:f>
      </x:c>
      <x:c r="BF46" s="82" t="str">
        <x:f>IF(B46="","",COUNTIF(H46:BD46,"☐ Non implémenté")+COUNTIF(H46:BD46,"☐ Non")+COUNTIF(H46:BD46,"◐ Partiel"))</x:f>
      </x:c>
      <x:c r="BG46" s="82"/>
    </x:row>
    <x:row r="47">
      <x:c r="A47" s="82"/>
      <x:c r="B47" s="82"/>
      <x:c r="C47" s="82"/>
      <x:c r="D47" s="82"/>
      <x:c r="E47" s="82"/>
      <x:c r="F47" s="82"/>
      <x:c r="G47" s="82"/>
      <x:c r="H47" s="82"/>
      <x:c r="I47" s="82"/>
      <x:c r="J47" s="82"/>
      <x:c r="K47" s="82"/>
      <x:c r="L47" s="82"/>
      <x:c r="M47" s="82"/>
      <x:c r="N47" s="82"/>
      <x:c r="O47" s="82"/>
      <x:c r="P47" s="82"/>
      <x:c r="Q47" s="84" t="str">
        <x:f>IFERROR((COUNTIF(H47:P47,"☑ Implémenté")+COUNTIF(H47:P47,"☑ Oui")+0.5*COUNTIF(H47:P47,"◐ Partiel"))/(COUNTIF(H47:P47,"☑ Implémenté")+COUNTIF(H47:P47,"☑ Oui")+COUNTIF(H47:P47,"◐ Partiel")+COUNTIF(H47:P47,"☐ Non implémenté")+COUNTIF(H47:P47,"☐ Non")),"")</x:f>
      </x:c>
      <x:c r="R47" s="82"/>
      <x:c r="S47" s="82"/>
      <x:c r="T47" s="82"/>
      <x:c r="U47" s="82"/>
      <x:c r="V47" s="84" t="str">
        <x:f>IFERROR((COUNTIF(R47:U47,"☑ Implémenté")+COUNTIF(R47:U47,"☑ Oui")+0.5*COUNTIF(R47:U47,"◐ Partiel"))/(COUNTIF(R47:U47,"☑ Implémenté")+COUNTIF(R47:U47,"☑ Oui")+COUNTIF(R47:U47,"◐ Partiel")+COUNTIF(R47:U47,"☐ Non implémenté")+COUNTIF(R47:U47,"☐ Non")),"")</x:f>
      </x:c>
      <x:c r="W47" s="82"/>
      <x:c r="X47" s="82"/>
      <x:c r="Y47" s="84" t="str">
        <x:f>IFERROR((COUNTIF(W47:X47,"☑ Implémenté")+COUNTIF(W47:X47,"☑ Oui")+0.5*COUNTIF(W47:X47,"◐ Partiel"))/(COUNTIF(W47:X47,"☑ Implémenté")+COUNTIF(W47:X47,"☑ Oui")+COUNTIF(W47:X47,"◐ Partiel")+COUNTIF(W47:X47,"☐ Non implémenté")+COUNTIF(W47:X47,"☐ Non")),"")</x:f>
      </x:c>
      <x:c r="Z47" s="82"/>
      <x:c r="AA47" s="82"/>
      <x:c r="AB47" s="82"/>
      <x:c r="AC47" s="82"/>
      <x:c r="AD47" s="82"/>
      <x:c r="AE47" s="82"/>
      <x:c r="AF47" s="82"/>
      <x:c r="AG47" s="84"/>
      <x:c r="AH47" s="82"/>
      <x:c r="AI47" s="82"/>
      <x:c r="AJ47" s="82"/>
      <x:c r="AK47" s="82"/>
      <x:c r="AL47" s="82"/>
      <x:c r="AM47" s="82"/>
      <x:c r="AN47" s="82"/>
      <x:c r="AO47" s="82"/>
      <x:c r="AP47" s="82"/>
      <x:c r="AQ47" s="82"/>
      <x:c r="AR47" s="82"/>
      <x:c r="AS47" s="82"/>
      <x:c r="AT47" s="82"/>
      <x:c r="AU47" s="82"/>
      <x:c r="AV47" s="82"/>
      <x:c r="AW47" s="82"/>
      <x:c r="AX47" s="82"/>
      <x:c r="AY47" s="82"/>
      <x:c r="AZ47" s="82"/>
      <x:c r="BA47" s="82"/>
      <x:c r="BB47" s="82"/>
      <x:c r="BC47" s="82"/>
      <x:c r="BD47" s="84" t="str">
        <x:f>IFERROR((COUNTIF(AZ47:BC47,"☑ Implémenté")+COUNTIF(AZ47:BC47,"☑ Oui")+0.5*COUNTIF(AZ47:BC47,"◐ Partiel"))/(COUNTIF(AZ47:BC47,"☑ Implémenté")+COUNTIF(AZ47:BC47,"☑ Oui")+COUNTIF(AZ47:BC47,"◐ Partiel")+COUNTIF(AZ47:BC47,"☐ Non implémenté")+COUNTIF(AZ47:BC47,"☐ Non")),"")</x:f>
      </x:c>
      <x:c r="BE47" s="84" t="str">
        <x:f>IFERROR((COUNTIF(H47:BD47,"☑ Implémenté")+COUNTIF(H47:BD47,"☑ Oui")+COUNTIF(H47:BD47,"DevOpsFundation")+0.5*COUNTIF(H47:BD47,"◐ Partiel"))/(COUNTIF(H47:BD47,"☑ Implémenté")+COUNTIF(H47:BD47,"☑ Oui")+COUNTIF(H47:BD47,"DevOpsFundation")+COUNTIF(H47:BD47,"◐ Partiel")+COUNTIF(H47:BD47,"☐ Non implémenté")+COUNTIF(H47:BD47,"☐ Non")),"")</x:f>
      </x:c>
      <x:c r="BF47" s="82" t="str">
        <x:f>IF(B47="","",COUNTIF(H47:BD47,"☐ Non implémenté")+COUNTIF(H47:BD47,"☐ Non")+COUNTIF(H47:BD47,"◐ Partiel"))</x:f>
      </x:c>
      <x:c r="BG47" s="82"/>
    </x:row>
    <x:row r="48">
      <x:c r="A48" s="82"/>
      <x:c r="B48" s="82"/>
      <x:c r="C48" s="82"/>
      <x:c r="D48" s="82"/>
      <x:c r="E48" s="82"/>
      <x:c r="F48" s="82"/>
      <x:c r="G48" s="82"/>
      <x:c r="H48" s="82"/>
      <x:c r="I48" s="82"/>
      <x:c r="J48" s="82"/>
      <x:c r="K48" s="82"/>
      <x:c r="L48" s="82"/>
      <x:c r="M48" s="82"/>
      <x:c r="N48" s="82"/>
      <x:c r="O48" s="82"/>
      <x:c r="P48" s="82"/>
      <x:c r="Q48" s="84" t="str">
        <x:f>IFERROR((COUNTIF(H48:P48,"☑ Implémenté")+COUNTIF(H48:P48,"☑ Oui")+0.5*COUNTIF(H48:P48,"◐ Partiel"))/(COUNTIF(H48:P48,"☑ Implémenté")+COUNTIF(H48:P48,"☑ Oui")+COUNTIF(H48:P48,"◐ Partiel")+COUNTIF(H48:P48,"☐ Non implémenté")+COUNTIF(H48:P48,"☐ Non")),"")</x:f>
      </x:c>
      <x:c r="R48" s="82"/>
      <x:c r="S48" s="82"/>
      <x:c r="T48" s="82"/>
      <x:c r="U48" s="82"/>
      <x:c r="V48" s="84" t="str">
        <x:f>IFERROR((COUNTIF(R48:U48,"☑ Implémenté")+COUNTIF(R48:U48,"☑ Oui")+0.5*COUNTIF(R48:U48,"◐ Partiel"))/(COUNTIF(R48:U48,"☑ Implémenté")+COUNTIF(R48:U48,"☑ Oui")+COUNTIF(R48:U48,"◐ Partiel")+COUNTIF(R48:U48,"☐ Non implémenté")+COUNTIF(R48:U48,"☐ Non")),"")</x:f>
      </x:c>
      <x:c r="W48" s="82"/>
      <x:c r="X48" s="82"/>
      <x:c r="Y48" s="84" t="str">
        <x:f>IFERROR((COUNTIF(W48:X48,"☑ Implémenté")+COUNTIF(W48:X48,"☑ Oui")+0.5*COUNTIF(W48:X48,"◐ Partiel"))/(COUNTIF(W48:X48,"☑ Implémenté")+COUNTIF(W48:X48,"☑ Oui")+COUNTIF(W48:X48,"◐ Partiel")+COUNTIF(W48:X48,"☐ Non implémenté")+COUNTIF(W48:X48,"☐ Non")),"")</x:f>
      </x:c>
      <x:c r="Z48" s="82"/>
      <x:c r="AA48" s="82"/>
      <x:c r="AB48" s="82"/>
      <x:c r="AC48" s="82"/>
      <x:c r="AD48" s="82"/>
      <x:c r="AE48" s="82"/>
      <x:c r="AF48" s="82"/>
      <x:c r="AG48" s="84"/>
      <x:c r="AH48" s="82"/>
      <x:c r="AI48" s="82"/>
      <x:c r="AJ48" s="82"/>
      <x:c r="AK48" s="82"/>
      <x:c r="AL48" s="82"/>
      <x:c r="AM48" s="82"/>
      <x:c r="AN48" s="82"/>
      <x:c r="AO48" s="82"/>
      <x:c r="AP48" s="82"/>
      <x:c r="AQ48" s="82"/>
      <x:c r="AR48" s="82"/>
      <x:c r="AS48" s="82"/>
      <x:c r="AT48" s="82"/>
      <x:c r="AU48" s="82"/>
      <x:c r="AV48" s="82"/>
      <x:c r="AW48" s="82"/>
      <x:c r="AX48" s="82"/>
      <x:c r="AY48" s="82"/>
      <x:c r="AZ48" s="82"/>
      <x:c r="BA48" s="82"/>
      <x:c r="BB48" s="82"/>
      <x:c r="BC48" s="82"/>
      <x:c r="BD48" s="84" t="str">
        <x:f>IFERROR((COUNTIF(AZ48:BC48,"☑ Implémenté")+COUNTIF(AZ48:BC48,"☑ Oui")+0.5*COUNTIF(AZ48:BC48,"◐ Partiel"))/(COUNTIF(AZ48:BC48,"☑ Implémenté")+COUNTIF(AZ48:BC48,"☑ Oui")+COUNTIF(AZ48:BC48,"◐ Partiel")+COUNTIF(AZ48:BC48,"☐ Non implémenté")+COUNTIF(AZ48:BC48,"☐ Non")),"")</x:f>
      </x:c>
      <x:c r="BE48" s="84" t="str">
        <x:f>IFERROR((COUNTIF(H48:BD48,"☑ Implémenté")+COUNTIF(H48:BD48,"☑ Oui")+COUNTIF(H48:BD48,"DevOpsFundation")+0.5*COUNTIF(H48:BD48,"◐ Partiel"))/(COUNTIF(H48:BD48,"☑ Implémenté")+COUNTIF(H48:BD48,"☑ Oui")+COUNTIF(H48:BD48,"DevOpsFundation")+COUNTIF(H48:BD48,"◐ Partiel")+COUNTIF(H48:BD48,"☐ Non implémenté")+COUNTIF(H48:BD48,"☐ Non")),"")</x:f>
      </x:c>
      <x:c r="BF48" s="82" t="str">
        <x:f>IF(B48="","",COUNTIF(H48:BD48,"☐ Non implémenté")+COUNTIF(H48:BD48,"☐ Non")+COUNTIF(H48:BD48,"◐ Partiel"))</x:f>
      </x:c>
      <x:c r="BG48" s="82"/>
    </x:row>
    <x:row r="49">
      <x:c r="A49" s="82"/>
      <x:c r="B49" s="82"/>
      <x:c r="C49" s="82"/>
      <x:c r="D49" s="82"/>
      <x:c r="E49" s="82"/>
      <x:c r="F49" s="82"/>
      <x:c r="G49" s="82"/>
      <x:c r="H49" s="82"/>
      <x:c r="I49" s="82"/>
      <x:c r="J49" s="82"/>
      <x:c r="K49" s="82"/>
      <x:c r="L49" s="82"/>
      <x:c r="M49" s="82"/>
      <x:c r="N49" s="82"/>
      <x:c r="O49" s="82"/>
      <x:c r="P49" s="82"/>
      <x:c r="Q49" s="84" t="str">
        <x:f>IFERROR((COUNTIF(H49:P49,"☑ Implémenté")+COUNTIF(H49:P49,"☑ Oui")+0.5*COUNTIF(H49:P49,"◐ Partiel"))/(COUNTIF(H49:P49,"☑ Implémenté")+COUNTIF(H49:P49,"☑ Oui")+COUNTIF(H49:P49,"◐ Partiel")+COUNTIF(H49:P49,"☐ Non implémenté")+COUNTIF(H49:P49,"☐ Non")),"")</x:f>
      </x:c>
      <x:c r="R49" s="82"/>
      <x:c r="S49" s="82"/>
      <x:c r="T49" s="82"/>
      <x:c r="U49" s="82"/>
      <x:c r="V49" s="84" t="str">
        <x:f>IFERROR((COUNTIF(R49:U49,"☑ Implémenté")+COUNTIF(R49:U49,"☑ Oui")+0.5*COUNTIF(R49:U49,"◐ Partiel"))/(COUNTIF(R49:U49,"☑ Implémenté")+COUNTIF(R49:U49,"☑ Oui")+COUNTIF(R49:U49,"◐ Partiel")+COUNTIF(R49:U49,"☐ Non implémenté")+COUNTIF(R49:U49,"☐ Non")),"")</x:f>
      </x:c>
      <x:c r="W49" s="82"/>
      <x:c r="X49" s="82"/>
      <x:c r="Y49" s="84" t="str">
        <x:f>IFERROR((COUNTIF(W49:X49,"☑ Implémenté")+COUNTIF(W49:X49,"☑ Oui")+0.5*COUNTIF(W49:X49,"◐ Partiel"))/(COUNTIF(W49:X49,"☑ Implémenté")+COUNTIF(W49:X49,"☑ Oui")+COUNTIF(W49:X49,"◐ Partiel")+COUNTIF(W49:X49,"☐ Non implémenté")+COUNTIF(W49:X49,"☐ Non")),"")</x:f>
      </x:c>
      <x:c r="Z49" s="82"/>
      <x:c r="AA49" s="82"/>
      <x:c r="AB49" s="82"/>
      <x:c r="AC49" s="82"/>
      <x:c r="AD49" s="82"/>
      <x:c r="AE49" s="82"/>
      <x:c r="AF49" s="82"/>
      <x:c r="AG49" s="84"/>
      <x:c r="AH49" s="82"/>
      <x:c r="AI49" s="82"/>
      <x:c r="AJ49" s="82"/>
      <x:c r="AK49" s="82"/>
      <x:c r="AL49" s="82"/>
      <x:c r="AM49" s="82"/>
      <x:c r="AN49" s="82"/>
      <x:c r="AO49" s="82"/>
      <x:c r="AP49" s="82"/>
      <x:c r="AQ49" s="82"/>
      <x:c r="AR49" s="82"/>
      <x:c r="AS49" s="82"/>
      <x:c r="AT49" s="82"/>
      <x:c r="AU49" s="82"/>
      <x:c r="AV49" s="82"/>
      <x:c r="AW49" s="82"/>
      <x:c r="AX49" s="82"/>
      <x:c r="AY49" s="82"/>
      <x:c r="AZ49" s="82"/>
      <x:c r="BA49" s="82"/>
      <x:c r="BB49" s="82"/>
      <x:c r="BC49" s="82"/>
      <x:c r="BD49" s="84" t="str">
        <x:f>IFERROR((COUNTIF(AZ49:BC49,"☑ Implémenté")+COUNTIF(AZ49:BC49,"☑ Oui")+0.5*COUNTIF(AZ49:BC49,"◐ Partiel"))/(COUNTIF(AZ49:BC49,"☑ Implémenté")+COUNTIF(AZ49:BC49,"☑ Oui")+COUNTIF(AZ49:BC49,"◐ Partiel")+COUNTIF(AZ49:BC49,"☐ Non implémenté")+COUNTIF(AZ49:BC49,"☐ Non")),"")</x:f>
      </x:c>
      <x:c r="BE49" s="84" t="str">
        <x:f>IFERROR((COUNTIF(H49:BD49,"☑ Implémenté")+COUNTIF(H49:BD49,"☑ Oui")+COUNTIF(H49:BD49,"DevOpsFundation")+0.5*COUNTIF(H49:BD49,"◐ Partiel"))/(COUNTIF(H49:BD49,"☑ Implémenté")+COUNTIF(H49:BD49,"☑ Oui")+COUNTIF(H49:BD49,"DevOpsFundation")+COUNTIF(H49:BD49,"◐ Partiel")+COUNTIF(H49:BD49,"☐ Non implémenté")+COUNTIF(H49:BD49,"☐ Non")),"")</x:f>
      </x:c>
      <x:c r="BF49" s="82" t="str">
        <x:f>IF(B49="","",COUNTIF(H49:BD49,"☐ Non implémenté")+COUNTIF(H49:BD49,"☐ Non")+COUNTIF(H49:BD49,"◐ Partiel"))</x:f>
      </x:c>
      <x:c r="BG49" s="82"/>
    </x:row>
    <x:row r="50">
      <x:c r="A50" s="82"/>
      <x:c r="B50" s="82"/>
      <x:c r="C50" s="82"/>
      <x:c r="D50" s="82"/>
      <x:c r="E50" s="82"/>
      <x:c r="F50" s="82"/>
      <x:c r="G50" s="82"/>
      <x:c r="H50" s="82"/>
      <x:c r="I50" s="82"/>
      <x:c r="J50" s="82"/>
      <x:c r="K50" s="82"/>
      <x:c r="L50" s="82"/>
      <x:c r="M50" s="82"/>
      <x:c r="N50" s="82"/>
      <x:c r="O50" s="82"/>
      <x:c r="P50" s="82"/>
      <x:c r="Q50" s="84" t="str">
        <x:f>IFERROR((COUNTIF(H50:P50,"☑ Implémenté")+COUNTIF(H50:P50,"☑ Oui")+0.5*COUNTIF(H50:P50,"◐ Partiel"))/(COUNTIF(H50:P50,"☑ Implémenté")+COUNTIF(H50:P50,"☑ Oui")+COUNTIF(H50:P50,"◐ Partiel")+COUNTIF(H50:P50,"☐ Non implémenté")+COUNTIF(H50:P50,"☐ Non")),"")</x:f>
      </x:c>
      <x:c r="R50" s="82"/>
      <x:c r="S50" s="82"/>
      <x:c r="T50" s="82"/>
      <x:c r="U50" s="82"/>
      <x:c r="V50" s="84" t="str">
        <x:f>IFERROR((COUNTIF(R50:U50,"☑ Implémenté")+COUNTIF(R50:U50,"☑ Oui")+0.5*COUNTIF(R50:U50,"◐ Partiel"))/(COUNTIF(R50:U50,"☑ Implémenté")+COUNTIF(R50:U50,"☑ Oui")+COUNTIF(R50:U50,"◐ Partiel")+COUNTIF(R50:U50,"☐ Non implémenté")+COUNTIF(R50:U50,"☐ Non")),"")</x:f>
      </x:c>
      <x:c r="W50" s="82"/>
      <x:c r="X50" s="82"/>
      <x:c r="Y50" s="84" t="str">
        <x:f>IFERROR((COUNTIF(W50:X50,"☑ Implémenté")+COUNTIF(W50:X50,"☑ Oui")+0.5*COUNTIF(W50:X50,"◐ Partiel"))/(COUNTIF(W50:X50,"☑ Implémenté")+COUNTIF(W50:X50,"☑ Oui")+COUNTIF(W50:X50,"◐ Partiel")+COUNTIF(W50:X50,"☐ Non implémenté")+COUNTIF(W50:X50,"☐ Non")),"")</x:f>
      </x:c>
      <x:c r="Z50" s="82"/>
      <x:c r="AA50" s="82"/>
      <x:c r="AB50" s="82"/>
      <x:c r="AC50" s="82"/>
      <x:c r="AD50" s="82"/>
      <x:c r="AE50" s="82"/>
      <x:c r="AF50" s="82"/>
      <x:c r="AG50" s="84"/>
      <x:c r="AH50" s="82"/>
      <x:c r="AI50" s="82"/>
      <x:c r="AJ50" s="82"/>
      <x:c r="AK50" s="82"/>
      <x:c r="AL50" s="82"/>
      <x:c r="AM50" s="82"/>
      <x:c r="AN50" s="82"/>
      <x:c r="AO50" s="82"/>
      <x:c r="AP50" s="82"/>
      <x:c r="AQ50" s="82"/>
      <x:c r="AR50" s="82"/>
      <x:c r="AS50" s="82"/>
      <x:c r="AT50" s="82"/>
      <x:c r="AU50" s="82"/>
      <x:c r="AV50" s="82"/>
      <x:c r="AW50" s="82"/>
      <x:c r="AX50" s="82"/>
      <x:c r="AY50" s="82"/>
      <x:c r="AZ50" s="82"/>
      <x:c r="BA50" s="82"/>
      <x:c r="BB50" s="82"/>
      <x:c r="BC50" s="82"/>
      <x:c r="BD50" s="84" t="str">
        <x:f>IFERROR((COUNTIF(AZ50:BC50,"☑ Implémenté")+COUNTIF(AZ50:BC50,"☑ Oui")+0.5*COUNTIF(AZ50:BC50,"◐ Partiel"))/(COUNTIF(AZ50:BC50,"☑ Implémenté")+COUNTIF(AZ50:BC50,"☑ Oui")+COUNTIF(AZ50:BC50,"◐ Partiel")+COUNTIF(AZ50:BC50,"☐ Non implémenté")+COUNTIF(AZ50:BC50,"☐ Non")),"")</x:f>
      </x:c>
      <x:c r="BE50" s="84" t="str">
        <x:f>IFERROR((COUNTIF(H50:BD50,"☑ Implémenté")+COUNTIF(H50:BD50,"☑ Oui")+COUNTIF(H50:BD50,"DevOpsFundation")+0.5*COUNTIF(H50:BD50,"◐ Partiel"))/(COUNTIF(H50:BD50,"☑ Implémenté")+COUNTIF(H50:BD50,"☑ Oui")+COUNTIF(H50:BD50,"DevOpsFundation")+COUNTIF(H50:BD50,"◐ Partiel")+COUNTIF(H50:BD50,"☐ Non implémenté")+COUNTIF(H50:BD50,"☐ Non")),"")</x:f>
      </x:c>
      <x:c r="BF50" s="82" t="str">
        <x:f>IF(B50="","",COUNTIF(H50:BD50,"☐ Non implémenté")+COUNTIF(H50:BD50,"☐ Non")+COUNTIF(H50:BD50,"◐ Partiel"))</x:f>
      </x:c>
      <x:c r="BG50" s="82"/>
    </x:row>
    <x:row r="51">
      <x:c r="A51" s="82"/>
      <x:c r="B51" s="82"/>
      <x:c r="C51" s="82"/>
      <x:c r="D51" s="82"/>
      <x:c r="E51" s="82"/>
      <x:c r="F51" s="82"/>
      <x:c r="G51" s="82"/>
      <x:c r="H51" s="82"/>
      <x:c r="I51" s="82"/>
      <x:c r="J51" s="82"/>
      <x:c r="K51" s="82"/>
      <x:c r="L51" s="82"/>
      <x:c r="M51" s="82"/>
      <x:c r="N51" s="82"/>
      <x:c r="O51" s="82"/>
      <x:c r="P51" s="82"/>
      <x:c r="Q51" s="84" t="str">
        <x:f>IFERROR((COUNTIF(H51:P51,"☑ Implémenté")+COUNTIF(H51:P51,"☑ Oui")+0.5*COUNTIF(H51:P51,"◐ Partiel"))/(COUNTIF(H51:P51,"☑ Implémenté")+COUNTIF(H51:P51,"☑ Oui")+COUNTIF(H51:P51,"◐ Partiel")+COUNTIF(H51:P51,"☐ Non implémenté")+COUNTIF(H51:P51,"☐ Non")),"")</x:f>
      </x:c>
      <x:c r="R51" s="82"/>
      <x:c r="S51" s="82"/>
      <x:c r="T51" s="82"/>
      <x:c r="U51" s="82"/>
      <x:c r="V51" s="84" t="str">
        <x:f>IFERROR((COUNTIF(R51:U51,"☑ Implémenté")+COUNTIF(R51:U51,"☑ Oui")+0.5*COUNTIF(R51:U51,"◐ Partiel"))/(COUNTIF(R51:U51,"☑ Implémenté")+COUNTIF(R51:U51,"☑ Oui")+COUNTIF(R51:U51,"◐ Partiel")+COUNTIF(R51:U51,"☐ Non implémenté")+COUNTIF(R51:U51,"☐ Non")),"")</x:f>
      </x:c>
      <x:c r="W51" s="82"/>
      <x:c r="X51" s="82"/>
      <x:c r="Y51" s="84" t="str">
        <x:f>IFERROR((COUNTIF(W51:X51,"☑ Implémenté")+COUNTIF(W51:X51,"☑ Oui")+0.5*COUNTIF(W51:X51,"◐ Partiel"))/(COUNTIF(W51:X51,"☑ Implémenté")+COUNTIF(W51:X51,"☑ Oui")+COUNTIF(W51:X51,"◐ Partiel")+COUNTIF(W51:X51,"☐ Non implémenté")+COUNTIF(W51:X51,"☐ Non")),"")</x:f>
      </x:c>
      <x:c r="Z51" s="82"/>
      <x:c r="AA51" s="82"/>
      <x:c r="AB51" s="82"/>
      <x:c r="AC51" s="82"/>
      <x:c r="AD51" s="82"/>
      <x:c r="AE51" s="82"/>
      <x:c r="AF51" s="82"/>
      <x:c r="AG51" s="84"/>
      <x:c r="AH51" s="82"/>
      <x:c r="AI51" s="82"/>
      <x:c r="AJ51" s="82"/>
      <x:c r="AK51" s="82"/>
      <x:c r="AL51" s="82"/>
      <x:c r="AM51" s="82"/>
      <x:c r="AN51" s="82"/>
      <x:c r="AO51" s="82"/>
      <x:c r="AP51" s="82"/>
      <x:c r="AQ51" s="82"/>
      <x:c r="AR51" s="82"/>
      <x:c r="AS51" s="82"/>
      <x:c r="AT51" s="82"/>
      <x:c r="AU51" s="82"/>
      <x:c r="AV51" s="82"/>
      <x:c r="AW51" s="82"/>
      <x:c r="AX51" s="82"/>
      <x:c r="AY51" s="82"/>
      <x:c r="AZ51" s="82"/>
      <x:c r="BA51" s="82"/>
      <x:c r="BB51" s="82"/>
      <x:c r="BC51" s="82"/>
      <x:c r="BD51" s="84" t="str">
        <x:f>IFERROR((COUNTIF(AZ51:BC51,"☑ Implémenté")+COUNTIF(AZ51:BC51,"☑ Oui")+0.5*COUNTIF(AZ51:BC51,"◐ Partiel"))/(COUNTIF(AZ51:BC51,"☑ Implémenté")+COUNTIF(AZ51:BC51,"☑ Oui")+COUNTIF(AZ51:BC51,"◐ Partiel")+COUNTIF(AZ51:BC51,"☐ Non implémenté")+COUNTIF(AZ51:BC51,"☐ Non")),"")</x:f>
      </x:c>
      <x:c r="BE51" s="84" t="str">
        <x:f>IFERROR((COUNTIF(H51:BD51,"☑ Implémenté")+COUNTIF(H51:BD51,"☑ Oui")+COUNTIF(H51:BD51,"DevOpsFundation")+0.5*COUNTIF(H51:BD51,"◐ Partiel"))/(COUNTIF(H51:BD51,"☑ Implémenté")+COUNTIF(H51:BD51,"☑ Oui")+COUNTIF(H51:BD51,"DevOpsFundation")+COUNTIF(H51:BD51,"◐ Partiel")+COUNTIF(H51:BD51,"☐ Non implémenté")+COUNTIF(H51:BD51,"☐ Non")),"")</x:f>
      </x:c>
      <x:c r="BF51" s="82" t="str">
        <x:f>IF(B51="","",COUNTIF(H51:BD51,"☐ Non implémenté")+COUNTIF(H51:BD51,"☐ Non")+COUNTIF(H51:BD51,"◐ Partiel"))</x:f>
      </x:c>
      <x:c r="BG51" s="82"/>
    </x:row>
    <x:row r="52">
      <x:c r="A52" s="82"/>
      <x:c r="B52" s="82"/>
      <x:c r="C52" s="82"/>
      <x:c r="D52" s="82"/>
      <x:c r="E52" s="82"/>
      <x:c r="F52" s="82"/>
      <x:c r="G52" s="82"/>
      <x:c r="H52" s="82"/>
      <x:c r="I52" s="82"/>
      <x:c r="J52" s="82"/>
      <x:c r="K52" s="82"/>
      <x:c r="L52" s="82"/>
      <x:c r="M52" s="82"/>
      <x:c r="N52" s="82"/>
      <x:c r="O52" s="82"/>
      <x:c r="P52" s="82"/>
      <x:c r="Q52" s="84" t="str">
        <x:f>IFERROR((COUNTIF(H52:P52,"☑ Implémenté")+COUNTIF(H52:P52,"☑ Oui")+0.5*COUNTIF(H52:P52,"◐ Partiel"))/(COUNTIF(H52:P52,"☑ Implémenté")+COUNTIF(H52:P52,"☑ Oui")+COUNTIF(H52:P52,"◐ Partiel")+COUNTIF(H52:P52,"☐ Non implémenté")+COUNTIF(H52:P52,"☐ Non")),"")</x:f>
      </x:c>
      <x:c r="R52" s="82"/>
      <x:c r="S52" s="82"/>
      <x:c r="T52" s="82"/>
      <x:c r="U52" s="82"/>
      <x:c r="V52" s="84" t="str">
        <x:f>IFERROR((COUNTIF(R52:U52,"☑ Implémenté")+COUNTIF(R52:U52,"☑ Oui")+0.5*COUNTIF(R52:U52,"◐ Partiel"))/(COUNTIF(R52:U52,"☑ Implémenté")+COUNTIF(R52:U52,"☑ Oui")+COUNTIF(R52:U52,"◐ Partiel")+COUNTIF(R52:U52,"☐ Non implémenté")+COUNTIF(R52:U52,"☐ Non")),"")</x:f>
      </x:c>
      <x:c r="W52" s="82"/>
      <x:c r="X52" s="82"/>
      <x:c r="Y52" s="84" t="str">
        <x:f>IFERROR((COUNTIF(W52:X52,"☑ Implémenté")+COUNTIF(W52:X52,"☑ Oui")+0.5*COUNTIF(W52:X52,"◐ Partiel"))/(COUNTIF(W52:X52,"☑ Implémenté")+COUNTIF(W52:X52,"☑ Oui")+COUNTIF(W52:X52,"◐ Partiel")+COUNTIF(W52:X52,"☐ Non implémenté")+COUNTIF(W52:X52,"☐ Non")),"")</x:f>
      </x:c>
      <x:c r="Z52" s="82"/>
      <x:c r="AA52" s="82"/>
      <x:c r="AB52" s="82"/>
      <x:c r="AC52" s="82"/>
      <x:c r="AD52" s="82"/>
      <x:c r="AE52" s="82"/>
      <x:c r="AF52" s="82"/>
      <x:c r="AG52" s="84"/>
      <x:c r="AH52" s="82"/>
      <x:c r="AI52" s="82"/>
      <x:c r="AJ52" s="82"/>
      <x:c r="AK52" s="82"/>
      <x:c r="AL52" s="82"/>
      <x:c r="AM52" s="82"/>
      <x:c r="AN52" s="82"/>
      <x:c r="AO52" s="82"/>
      <x:c r="AP52" s="82"/>
      <x:c r="AQ52" s="82"/>
      <x:c r="AR52" s="82"/>
      <x:c r="AS52" s="82"/>
      <x:c r="AT52" s="82"/>
      <x:c r="AU52" s="82"/>
      <x:c r="AV52" s="82"/>
      <x:c r="AW52" s="82"/>
      <x:c r="AX52" s="82"/>
      <x:c r="AY52" s="82"/>
      <x:c r="AZ52" s="82"/>
      <x:c r="BA52" s="82"/>
      <x:c r="BB52" s="82"/>
      <x:c r="BC52" s="82"/>
      <x:c r="BD52" s="84" t="str">
        <x:f>IFERROR((COUNTIF(AZ52:BC52,"☑ Implémenté")+COUNTIF(AZ52:BC52,"☑ Oui")+0.5*COUNTIF(AZ52:BC52,"◐ Partiel"))/(COUNTIF(AZ52:BC52,"☑ Implémenté")+COUNTIF(AZ52:BC52,"☑ Oui")+COUNTIF(AZ52:BC52,"◐ Partiel")+COUNTIF(AZ52:BC52,"☐ Non implémenté")+COUNTIF(AZ52:BC52,"☐ Non")),"")</x:f>
      </x:c>
      <x:c r="BE52" s="84" t="str">
        <x:f>IFERROR((COUNTIF(H52:BD52,"☑ Implémenté")+COUNTIF(H52:BD52,"☑ Oui")+COUNTIF(H52:BD52,"DevOpsFundation")+0.5*COUNTIF(H52:BD52,"◐ Partiel"))/(COUNTIF(H52:BD52,"☑ Implémenté")+COUNTIF(H52:BD52,"☑ Oui")+COUNTIF(H52:BD52,"DevOpsFundation")+COUNTIF(H52:BD52,"◐ Partiel")+COUNTIF(H52:BD52,"☐ Non implémenté")+COUNTIF(H52:BD52,"☐ Non")),"")</x:f>
      </x:c>
      <x:c r="BF52" s="82" t="str">
        <x:f>IF(B52="","",COUNTIF(H52:BD52,"☐ Non implémenté")+COUNTIF(H52:BD52,"☐ Non")+COUNTIF(H52:BD52,"◐ Partiel"))</x:f>
      </x:c>
      <x:c r="BG52" s="82"/>
    </x:row>
    <x:row r="53">
      <x:c r="A53" s="82"/>
      <x:c r="B53" s="82"/>
      <x:c r="C53" s="82"/>
      <x:c r="D53" s="82"/>
      <x:c r="E53" s="82"/>
      <x:c r="F53" s="82"/>
      <x:c r="G53" s="82"/>
      <x:c r="H53" s="82"/>
      <x:c r="I53" s="82"/>
      <x:c r="J53" s="82"/>
      <x:c r="K53" s="82"/>
      <x:c r="L53" s="82"/>
      <x:c r="M53" s="82"/>
      <x:c r="N53" s="82"/>
      <x:c r="O53" s="82"/>
      <x:c r="P53" s="82"/>
      <x:c r="Q53" s="84" t="str">
        <x:f>IFERROR((COUNTIF(H53:P53,"☑ Implémenté")+COUNTIF(H53:P53,"☑ Oui")+0.5*COUNTIF(H53:P53,"◐ Partiel"))/(COUNTIF(H53:P53,"☑ Implémenté")+COUNTIF(H53:P53,"☑ Oui")+COUNTIF(H53:P53,"◐ Partiel")+COUNTIF(H53:P53,"☐ Non implémenté")+COUNTIF(H53:P53,"☐ Non")),"")</x:f>
      </x:c>
      <x:c r="R53" s="82"/>
      <x:c r="S53" s="82"/>
      <x:c r="T53" s="82"/>
      <x:c r="U53" s="82"/>
      <x:c r="V53" s="84" t="str">
        <x:f>IFERROR((COUNTIF(R53:U53,"☑ Implémenté")+COUNTIF(R53:U53,"☑ Oui")+0.5*COUNTIF(R53:U53,"◐ Partiel"))/(COUNTIF(R53:U53,"☑ Implémenté")+COUNTIF(R53:U53,"☑ Oui")+COUNTIF(R53:U53,"◐ Partiel")+COUNTIF(R53:U53,"☐ Non implémenté")+COUNTIF(R53:U53,"☐ Non")),"")</x:f>
      </x:c>
      <x:c r="W53" s="82"/>
      <x:c r="X53" s="82"/>
      <x:c r="Y53" s="84" t="str">
        <x:f>IFERROR((COUNTIF(W53:X53,"☑ Implémenté")+COUNTIF(W53:X53,"☑ Oui")+0.5*COUNTIF(W53:X53,"◐ Partiel"))/(COUNTIF(W53:X53,"☑ Implémenté")+COUNTIF(W53:X53,"☑ Oui")+COUNTIF(W53:X53,"◐ Partiel")+COUNTIF(W53:X53,"☐ Non implémenté")+COUNTIF(W53:X53,"☐ Non")),"")</x:f>
      </x:c>
      <x:c r="Z53" s="82"/>
      <x:c r="AA53" s="82"/>
      <x:c r="AB53" s="82"/>
      <x:c r="AC53" s="82"/>
      <x:c r="AD53" s="82"/>
      <x:c r="AE53" s="82"/>
      <x:c r="AF53" s="82"/>
      <x:c r="AG53" s="84"/>
      <x:c r="AH53" s="82"/>
      <x:c r="AI53" s="82"/>
      <x:c r="AJ53" s="82"/>
      <x:c r="AK53" s="82"/>
      <x:c r="AL53" s="82"/>
      <x:c r="AM53" s="82"/>
      <x:c r="AN53" s="82"/>
      <x:c r="AO53" s="82"/>
      <x:c r="AP53" s="82"/>
      <x:c r="AQ53" s="82"/>
      <x:c r="AR53" s="82"/>
      <x:c r="AS53" s="82"/>
      <x:c r="AT53" s="82"/>
      <x:c r="AU53" s="82"/>
      <x:c r="AV53" s="82"/>
      <x:c r="AW53" s="82"/>
      <x:c r="AX53" s="82"/>
      <x:c r="AY53" s="82"/>
      <x:c r="AZ53" s="82"/>
      <x:c r="BA53" s="82"/>
      <x:c r="BB53" s="82"/>
      <x:c r="BC53" s="82"/>
      <x:c r="BD53" s="84" t="str">
        <x:f>IFERROR((COUNTIF(AZ53:BC53,"☑ Implémenté")+COUNTIF(AZ53:BC53,"☑ Oui")+0.5*COUNTIF(AZ53:BC53,"◐ Partiel"))/(COUNTIF(AZ53:BC53,"☑ Implémenté")+COUNTIF(AZ53:BC53,"☑ Oui")+COUNTIF(AZ53:BC53,"◐ Partiel")+COUNTIF(AZ53:BC53,"☐ Non implémenté")+COUNTIF(AZ53:BC53,"☐ Non")),"")</x:f>
      </x:c>
      <x:c r="BE53" s="84" t="str">
        <x:f>IFERROR((COUNTIF(H53:BD53,"☑ Implémenté")+COUNTIF(H53:BD53,"☑ Oui")+COUNTIF(H53:BD53,"DevOpsFundation")+0.5*COUNTIF(H53:BD53,"◐ Partiel"))/(COUNTIF(H53:BD53,"☑ Implémenté")+COUNTIF(H53:BD53,"☑ Oui")+COUNTIF(H53:BD53,"DevOpsFundation")+COUNTIF(H53:BD53,"◐ Partiel")+COUNTIF(H53:BD53,"☐ Non implémenté")+COUNTIF(H53:BD53,"☐ Non")),"")</x:f>
      </x:c>
      <x:c r="BF53" s="82" t="str">
        <x:f>IF(B53="","",COUNTIF(H53:BD53,"☐ Non implémenté")+COUNTIF(H53:BD53,"☐ Non")+COUNTIF(H53:BD53,"◐ Partiel"))</x:f>
      </x:c>
      <x:c r="BG53" s="82"/>
    </x:row>
    <x:row r="54">
      <x:c r="A54" s="82"/>
      <x:c r="B54" s="82"/>
      <x:c r="C54" s="82"/>
      <x:c r="D54" s="82"/>
      <x:c r="E54" s="82"/>
      <x:c r="F54" s="82"/>
      <x:c r="G54" s="82"/>
      <x:c r="H54" s="82"/>
      <x:c r="I54" s="82"/>
      <x:c r="J54" s="82"/>
      <x:c r="K54" s="82"/>
      <x:c r="L54" s="82"/>
      <x:c r="M54" s="82"/>
      <x:c r="N54" s="82"/>
      <x:c r="O54" s="82"/>
      <x:c r="P54" s="82"/>
      <x:c r="Q54" s="84" t="str">
        <x:f>IFERROR((COUNTIF(H54:P54,"☑ Implémenté")+COUNTIF(H54:P54,"☑ Oui")+0.5*COUNTIF(H54:P54,"◐ Partiel"))/(COUNTIF(H54:P54,"☑ Implémenté")+COUNTIF(H54:P54,"☑ Oui")+COUNTIF(H54:P54,"◐ Partiel")+COUNTIF(H54:P54,"☐ Non implémenté")+COUNTIF(H54:P54,"☐ Non")),"")</x:f>
      </x:c>
      <x:c r="R54" s="82"/>
      <x:c r="S54" s="82"/>
      <x:c r="T54" s="82"/>
      <x:c r="U54" s="82"/>
      <x:c r="V54" s="84" t="str">
        <x:f>IFERROR((COUNTIF(R54:U54,"☑ Implémenté")+COUNTIF(R54:U54,"☑ Oui")+0.5*COUNTIF(R54:U54,"◐ Partiel"))/(COUNTIF(R54:U54,"☑ Implémenté")+COUNTIF(R54:U54,"☑ Oui")+COUNTIF(R54:U54,"◐ Partiel")+COUNTIF(R54:U54,"☐ Non implémenté")+COUNTIF(R54:U54,"☐ Non")),"")</x:f>
      </x:c>
      <x:c r="W54" s="82"/>
      <x:c r="X54" s="82"/>
      <x:c r="Y54" s="84" t="str">
        <x:f>IFERROR((COUNTIF(W54:X54,"☑ Implémenté")+COUNTIF(W54:X54,"☑ Oui")+0.5*COUNTIF(W54:X54,"◐ Partiel"))/(COUNTIF(W54:X54,"☑ Implémenté")+COUNTIF(W54:X54,"☑ Oui")+COUNTIF(W54:X54,"◐ Partiel")+COUNTIF(W54:X54,"☐ Non implémenté")+COUNTIF(W54:X54,"☐ Non")),"")</x:f>
      </x:c>
      <x:c r="Z54" s="82"/>
      <x:c r="AA54" s="82"/>
      <x:c r="AB54" s="82"/>
      <x:c r="AC54" s="82"/>
      <x:c r="AD54" s="82"/>
      <x:c r="AE54" s="82"/>
      <x:c r="AF54" s="82"/>
      <x:c r="AG54" s="84"/>
      <x:c r="AH54" s="82"/>
      <x:c r="AI54" s="82"/>
      <x:c r="AJ54" s="82"/>
      <x:c r="AK54" s="82"/>
      <x:c r="AL54" s="82"/>
      <x:c r="AM54" s="82"/>
      <x:c r="AN54" s="82"/>
      <x:c r="AO54" s="82"/>
      <x:c r="AP54" s="82"/>
      <x:c r="AQ54" s="82"/>
      <x:c r="AR54" s="82"/>
      <x:c r="AS54" s="82"/>
      <x:c r="AT54" s="82"/>
      <x:c r="AU54" s="82"/>
      <x:c r="AV54" s="82"/>
      <x:c r="AW54" s="82"/>
      <x:c r="AX54" s="82"/>
      <x:c r="AY54" s="82"/>
      <x:c r="AZ54" s="82"/>
      <x:c r="BA54" s="82"/>
      <x:c r="BB54" s="82"/>
      <x:c r="BC54" s="82"/>
      <x:c r="BD54" s="84" t="str">
        <x:f>IFERROR((COUNTIF(AZ54:BC54,"☑ Implémenté")+COUNTIF(AZ54:BC54,"☑ Oui")+0.5*COUNTIF(AZ54:BC54,"◐ Partiel"))/(COUNTIF(AZ54:BC54,"☑ Implémenté")+COUNTIF(AZ54:BC54,"☑ Oui")+COUNTIF(AZ54:BC54,"◐ Partiel")+COUNTIF(AZ54:BC54,"☐ Non implémenté")+COUNTIF(AZ54:BC54,"☐ Non")),"")</x:f>
      </x:c>
      <x:c r="BE54" s="84" t="str">
        <x:f>IFERROR((COUNTIF(H54:BD54,"☑ Implémenté")+COUNTIF(H54:BD54,"☑ Oui")+COUNTIF(H54:BD54,"DevOpsFundation")+0.5*COUNTIF(H54:BD54,"◐ Partiel"))/(COUNTIF(H54:BD54,"☑ Implémenté")+COUNTIF(H54:BD54,"☑ Oui")+COUNTIF(H54:BD54,"DevOpsFundation")+COUNTIF(H54:BD54,"◐ Partiel")+COUNTIF(H54:BD54,"☐ Non implémenté")+COUNTIF(H54:BD54,"☐ Non")),"")</x:f>
      </x:c>
      <x:c r="BF54" s="82" t="str">
        <x:f>IF(B54="","",COUNTIF(H54:BD54,"☐ Non implémenté")+COUNTIF(H54:BD54,"☐ Non")+COUNTIF(H54:BD54,"◐ Partiel"))</x:f>
      </x:c>
      <x:c r="BG54" s="82"/>
    </x:row>
    <x:row r="55">
      <x:c r="A55" s="82"/>
      <x:c r="B55" s="82"/>
      <x:c r="C55" s="82"/>
      <x:c r="D55" s="82"/>
      <x:c r="E55" s="82"/>
      <x:c r="F55" s="82"/>
      <x:c r="G55" s="82"/>
      <x:c r="H55" s="82"/>
      <x:c r="I55" s="82"/>
      <x:c r="J55" s="82"/>
      <x:c r="K55" s="82"/>
      <x:c r="L55" s="82"/>
      <x:c r="M55" s="82"/>
      <x:c r="N55" s="82"/>
      <x:c r="O55" s="82"/>
      <x:c r="P55" s="82"/>
      <x:c r="Q55" s="84" t="str">
        <x:f>IFERROR((COUNTIF(H55:P55,"☑ Implémenté")+COUNTIF(H55:P55,"☑ Oui")+0.5*COUNTIF(H55:P55,"◐ Partiel"))/(COUNTIF(H55:P55,"☑ Implémenté")+COUNTIF(H55:P55,"☑ Oui")+COUNTIF(H55:P55,"◐ Partiel")+COUNTIF(H55:P55,"☐ Non implémenté")+COUNTIF(H55:P55,"☐ Non")),"")</x:f>
      </x:c>
      <x:c r="R55" s="82"/>
      <x:c r="S55" s="82"/>
      <x:c r="T55" s="82"/>
      <x:c r="U55" s="82"/>
      <x:c r="V55" s="84" t="str">
        <x:f>IFERROR((COUNTIF(R55:U55,"☑ Implémenté")+COUNTIF(R55:U55,"☑ Oui")+0.5*COUNTIF(R55:U55,"◐ Partiel"))/(COUNTIF(R55:U55,"☑ Implémenté")+COUNTIF(R55:U55,"☑ Oui")+COUNTIF(R55:U55,"◐ Partiel")+COUNTIF(R55:U55,"☐ Non implémenté")+COUNTIF(R55:U55,"☐ Non")),"")</x:f>
      </x:c>
      <x:c r="W55" s="82"/>
      <x:c r="X55" s="82"/>
      <x:c r="Y55" s="84" t="str">
        <x:f>IFERROR((COUNTIF(W55:X55,"☑ Implémenté")+COUNTIF(W55:X55,"☑ Oui")+0.5*COUNTIF(W55:X55,"◐ Partiel"))/(COUNTIF(W55:X55,"☑ Implémenté")+COUNTIF(W55:X55,"☑ Oui")+COUNTIF(W55:X55,"◐ Partiel")+COUNTIF(W55:X55,"☐ Non implémenté")+COUNTIF(W55:X55,"☐ Non")),"")</x:f>
      </x:c>
      <x:c r="Z55" s="82"/>
      <x:c r="AA55" s="82"/>
      <x:c r="AB55" s="82"/>
      <x:c r="AC55" s="82"/>
      <x:c r="AD55" s="82"/>
      <x:c r="AE55" s="82"/>
      <x:c r="AF55" s="82"/>
      <x:c r="AG55" s="84"/>
      <x:c r="AH55" s="82"/>
      <x:c r="AI55" s="82"/>
      <x:c r="AJ55" s="82"/>
      <x:c r="AK55" s="82"/>
      <x:c r="AL55" s="82"/>
      <x:c r="AM55" s="82"/>
      <x:c r="AN55" s="82"/>
      <x:c r="AO55" s="82"/>
      <x:c r="AP55" s="82"/>
      <x:c r="AQ55" s="82"/>
      <x:c r="AR55" s="82"/>
      <x:c r="AS55" s="82"/>
      <x:c r="AT55" s="82"/>
      <x:c r="AU55" s="82"/>
      <x:c r="AV55" s="82"/>
      <x:c r="AW55" s="82"/>
      <x:c r="AX55" s="82"/>
      <x:c r="AY55" s="82"/>
      <x:c r="AZ55" s="82"/>
      <x:c r="BA55" s="82"/>
      <x:c r="BB55" s="82"/>
      <x:c r="BC55" s="82"/>
      <x:c r="BD55" s="84" t="str">
        <x:f>IFERROR((COUNTIF(AZ55:BC55,"☑ Implémenté")+COUNTIF(AZ55:BC55,"☑ Oui")+0.5*COUNTIF(AZ55:BC55,"◐ Partiel"))/(COUNTIF(AZ55:BC55,"☑ Implémenté")+COUNTIF(AZ55:BC55,"☑ Oui")+COUNTIF(AZ55:BC55,"◐ Partiel")+COUNTIF(AZ55:BC55,"☐ Non implémenté")+COUNTIF(AZ55:BC55,"☐ Non")),"")</x:f>
      </x:c>
      <x:c r="BE55" s="84" t="str">
        <x:f>IFERROR((COUNTIF(H55:BD55,"☑ Implémenté")+COUNTIF(H55:BD55,"☑ Oui")+COUNTIF(H55:BD55,"DevOpsFundation")+0.5*COUNTIF(H55:BD55,"◐ Partiel"))/(COUNTIF(H55:BD55,"☑ Implémenté")+COUNTIF(H55:BD55,"☑ Oui")+COUNTIF(H55:BD55,"DevOpsFundation")+COUNTIF(H55:BD55,"◐ Partiel")+COUNTIF(H55:BD55,"☐ Non implémenté")+COUNTIF(H55:BD55,"☐ Non")),"")</x:f>
      </x:c>
      <x:c r="BF55" s="82" t="str">
        <x:f>IF(B55="","",COUNTIF(H55:BD55,"☐ Non implémenté")+COUNTIF(H55:BD55,"☐ Non")+COUNTIF(H55:BD55,"◐ Partiel"))</x:f>
      </x:c>
      <x:c r="BG55" s="82"/>
    </x:row>
    <x:row r="56">
      <x:c r="A56" s="82"/>
      <x:c r="B56" s="82"/>
      <x:c r="C56" s="82"/>
      <x:c r="D56" s="82"/>
      <x:c r="E56" s="82"/>
      <x:c r="F56" s="82"/>
      <x:c r="G56" s="82"/>
      <x:c r="H56" s="82"/>
      <x:c r="I56" s="82"/>
      <x:c r="J56" s="82"/>
      <x:c r="K56" s="82"/>
      <x:c r="L56" s="82"/>
      <x:c r="M56" s="82"/>
      <x:c r="N56" s="82"/>
      <x:c r="O56" s="82"/>
      <x:c r="P56" s="82"/>
      <x:c r="Q56" s="84" t="str">
        <x:f>IFERROR((COUNTIF(H56:P56,"☑ Implémenté")+COUNTIF(H56:P56,"☑ Oui")+0.5*COUNTIF(H56:P56,"◐ Partiel"))/(COUNTIF(H56:P56,"☑ Implémenté")+COUNTIF(H56:P56,"☑ Oui")+COUNTIF(H56:P56,"◐ Partiel")+COUNTIF(H56:P56,"☐ Non implémenté")+COUNTIF(H56:P56,"☐ Non")),"")</x:f>
      </x:c>
      <x:c r="R56" s="82"/>
      <x:c r="S56" s="82"/>
      <x:c r="T56" s="82"/>
      <x:c r="U56" s="82"/>
      <x:c r="V56" s="84" t="str">
        <x:f>IFERROR((COUNTIF(R56:U56,"☑ Implémenté")+COUNTIF(R56:U56,"☑ Oui")+0.5*COUNTIF(R56:U56,"◐ Partiel"))/(COUNTIF(R56:U56,"☑ Implémenté")+COUNTIF(R56:U56,"☑ Oui")+COUNTIF(R56:U56,"◐ Partiel")+COUNTIF(R56:U56,"☐ Non implémenté")+COUNTIF(R56:U56,"☐ Non")),"")</x:f>
      </x:c>
      <x:c r="W56" s="82"/>
      <x:c r="X56" s="82"/>
      <x:c r="Y56" s="84" t="str">
        <x:f>IFERROR((COUNTIF(W56:X56,"☑ Implémenté")+COUNTIF(W56:X56,"☑ Oui")+0.5*COUNTIF(W56:X56,"◐ Partiel"))/(COUNTIF(W56:X56,"☑ Implémenté")+COUNTIF(W56:X56,"☑ Oui")+COUNTIF(W56:X56,"◐ Partiel")+COUNTIF(W56:X56,"☐ Non implémenté")+COUNTIF(W56:X56,"☐ Non")),"")</x:f>
      </x:c>
      <x:c r="Z56" s="82"/>
      <x:c r="AA56" s="82"/>
      <x:c r="AB56" s="82"/>
      <x:c r="AC56" s="82"/>
      <x:c r="AD56" s="82"/>
      <x:c r="AE56" s="82"/>
      <x:c r="AF56" s="82"/>
      <x:c r="AG56" s="84"/>
      <x:c r="AH56" s="82"/>
      <x:c r="AI56" s="82"/>
      <x:c r="AJ56" s="82"/>
      <x:c r="AK56" s="82"/>
      <x:c r="AL56" s="82"/>
      <x:c r="AM56" s="82"/>
      <x:c r="AN56" s="82"/>
      <x:c r="AO56" s="82"/>
      <x:c r="AP56" s="82"/>
      <x:c r="AQ56" s="82"/>
      <x:c r="AR56" s="82"/>
      <x:c r="AS56" s="82"/>
      <x:c r="AT56" s="82"/>
      <x:c r="AU56" s="82"/>
      <x:c r="AV56" s="82"/>
      <x:c r="AW56" s="82"/>
      <x:c r="AX56" s="82"/>
      <x:c r="AY56" s="82"/>
      <x:c r="AZ56" s="82"/>
      <x:c r="BA56" s="82"/>
      <x:c r="BB56" s="82"/>
      <x:c r="BC56" s="82"/>
      <x:c r="BD56" s="84" t="str">
        <x:f>IFERROR((COUNTIF(AZ56:BC56,"☑ Implémenté")+COUNTIF(AZ56:BC56,"☑ Oui")+0.5*COUNTIF(AZ56:BC56,"◐ Partiel"))/(COUNTIF(AZ56:BC56,"☑ Implémenté")+COUNTIF(AZ56:BC56,"☑ Oui")+COUNTIF(AZ56:BC56,"◐ Partiel")+COUNTIF(AZ56:BC56,"☐ Non implémenté")+COUNTIF(AZ56:BC56,"☐ Non")),"")</x:f>
      </x:c>
      <x:c r="BE56" s="84" t="str">
        <x:f>IFERROR((COUNTIF(H56:BD56,"☑ Implémenté")+COUNTIF(H56:BD56,"☑ Oui")+COUNTIF(H56:BD56,"DevOpsFundation")+0.5*COUNTIF(H56:BD56,"◐ Partiel"))/(COUNTIF(H56:BD56,"☑ Implémenté")+COUNTIF(H56:BD56,"☑ Oui")+COUNTIF(H56:BD56,"DevOpsFundation")+COUNTIF(H56:BD56,"◐ Partiel")+COUNTIF(H56:BD56,"☐ Non implémenté")+COUNTIF(H56:BD56,"☐ Non")),"")</x:f>
      </x:c>
      <x:c r="BF56" s="82" t="str">
        <x:f>IF(B56="","",COUNTIF(H56:BD56,"☐ Non implémenté")+COUNTIF(H56:BD56,"☐ Non")+COUNTIF(H56:BD56,"◐ Partiel"))</x:f>
      </x:c>
      <x:c r="BG56" s="82"/>
    </x:row>
    <x:row r="57">
      <x:c r="A57" s="82"/>
      <x:c r="B57" s="82"/>
      <x:c r="C57" s="82"/>
      <x:c r="D57" s="82"/>
      <x:c r="E57" s="82"/>
      <x:c r="F57" s="82"/>
      <x:c r="G57" s="82"/>
      <x:c r="H57" s="82"/>
      <x:c r="I57" s="82"/>
      <x:c r="J57" s="82"/>
      <x:c r="K57" s="82"/>
      <x:c r="L57" s="82"/>
      <x:c r="M57" s="82"/>
      <x:c r="N57" s="82"/>
      <x:c r="O57" s="82"/>
      <x:c r="P57" s="82"/>
      <x:c r="Q57" s="84" t="str">
        <x:f>IFERROR((COUNTIF(H57:P57,"☑ Implémenté")+COUNTIF(H57:P57,"☑ Oui")+0.5*COUNTIF(H57:P57,"◐ Partiel"))/(COUNTIF(H57:P57,"☑ Implémenté")+COUNTIF(H57:P57,"☑ Oui")+COUNTIF(H57:P57,"◐ Partiel")+COUNTIF(H57:P57,"☐ Non implémenté")+COUNTIF(H57:P57,"☐ Non")),"")</x:f>
      </x:c>
      <x:c r="R57" s="82"/>
      <x:c r="S57" s="82"/>
      <x:c r="T57" s="82"/>
      <x:c r="U57" s="82"/>
      <x:c r="V57" s="84" t="str">
        <x:f>IFERROR((COUNTIF(R57:U57,"☑ Implémenté")+COUNTIF(R57:U57,"☑ Oui")+0.5*COUNTIF(R57:U57,"◐ Partiel"))/(COUNTIF(R57:U57,"☑ Implémenté")+COUNTIF(R57:U57,"☑ Oui")+COUNTIF(R57:U57,"◐ Partiel")+COUNTIF(R57:U57,"☐ Non implémenté")+COUNTIF(R57:U57,"☐ Non")),"")</x:f>
      </x:c>
      <x:c r="W57" s="82"/>
      <x:c r="X57" s="82"/>
      <x:c r="Y57" s="84" t="str">
        <x:f>IFERROR((COUNTIF(W57:X57,"☑ Implémenté")+COUNTIF(W57:X57,"☑ Oui")+0.5*COUNTIF(W57:X57,"◐ Partiel"))/(COUNTIF(W57:X57,"☑ Implémenté")+COUNTIF(W57:X57,"☑ Oui")+COUNTIF(W57:X57,"◐ Partiel")+COUNTIF(W57:X57,"☐ Non implémenté")+COUNTIF(W57:X57,"☐ Non")),"")</x:f>
      </x:c>
      <x:c r="Z57" s="82"/>
      <x:c r="AA57" s="82"/>
      <x:c r="AB57" s="82"/>
      <x:c r="AC57" s="82"/>
      <x:c r="AD57" s="82"/>
      <x:c r="AE57" s="82"/>
      <x:c r="AF57" s="82"/>
      <x:c r="AG57" s="84"/>
      <x:c r="AH57" s="82"/>
      <x:c r="AI57" s="82"/>
      <x:c r="AJ57" s="82"/>
      <x:c r="AK57" s="82"/>
      <x:c r="AL57" s="82"/>
      <x:c r="AM57" s="82"/>
      <x:c r="AN57" s="82"/>
      <x:c r="AO57" s="82"/>
      <x:c r="AP57" s="82"/>
      <x:c r="AQ57" s="82"/>
      <x:c r="AR57" s="82"/>
      <x:c r="AS57" s="82"/>
      <x:c r="AT57" s="82"/>
      <x:c r="AU57" s="82"/>
      <x:c r="AV57" s="82"/>
      <x:c r="AW57" s="82"/>
      <x:c r="AX57" s="82"/>
      <x:c r="AY57" s="82"/>
      <x:c r="AZ57" s="82"/>
      <x:c r="BA57" s="82"/>
      <x:c r="BB57" s="82"/>
      <x:c r="BC57" s="82"/>
      <x:c r="BD57" s="84" t="str">
        <x:f>IFERROR((COUNTIF(AZ57:BC57,"☑ Implémenté")+COUNTIF(AZ57:BC57,"☑ Oui")+0.5*COUNTIF(AZ57:BC57,"◐ Partiel"))/(COUNTIF(AZ57:BC57,"☑ Implémenté")+COUNTIF(AZ57:BC57,"☑ Oui")+COUNTIF(AZ57:BC57,"◐ Partiel")+COUNTIF(AZ57:BC57,"☐ Non implémenté")+COUNTIF(AZ57:BC57,"☐ Non")),"")</x:f>
      </x:c>
      <x:c r="BE57" s="84" t="str">
        <x:f>IFERROR((COUNTIF(H57:BD57,"☑ Implémenté")+COUNTIF(H57:BD57,"☑ Oui")+COUNTIF(H57:BD57,"DevOpsFundation")+0.5*COUNTIF(H57:BD57,"◐ Partiel"))/(COUNTIF(H57:BD57,"☑ Implémenté")+COUNTIF(H57:BD57,"☑ Oui")+COUNTIF(H57:BD57,"DevOpsFundation")+COUNTIF(H57:BD57,"◐ Partiel")+COUNTIF(H57:BD57,"☐ Non implémenté")+COUNTIF(H57:BD57,"☐ Non")),"")</x:f>
      </x:c>
      <x:c r="BF57" s="82" t="str">
        <x:f>IF(B57="","",COUNTIF(H57:BD57,"☐ Non implémenté")+COUNTIF(H57:BD57,"☐ Non")+COUNTIF(H57:BD57,"◐ Partiel"))</x:f>
      </x:c>
      <x:c r="BG57" s="82"/>
    </x:row>
    <x:row r="58">
      <x:c r="A58" s="82"/>
      <x:c r="B58" s="82"/>
      <x:c r="C58" s="82"/>
      <x:c r="D58" s="82"/>
      <x:c r="E58" s="82"/>
      <x:c r="F58" s="82"/>
      <x:c r="G58" s="82"/>
      <x:c r="H58" s="82"/>
      <x:c r="I58" s="82"/>
      <x:c r="J58" s="82"/>
      <x:c r="K58" s="82"/>
      <x:c r="L58" s="82"/>
      <x:c r="M58" s="82"/>
      <x:c r="N58" s="82"/>
      <x:c r="O58" s="82"/>
      <x:c r="P58" s="82"/>
      <x:c r="Q58" s="84" t="str">
        <x:f>IFERROR((COUNTIF(H58:P58,"☑ Implémenté")+COUNTIF(H58:P58,"☑ Oui")+0.5*COUNTIF(H58:P58,"◐ Partiel"))/(COUNTIF(H58:P58,"☑ Implémenté")+COUNTIF(H58:P58,"☑ Oui")+COUNTIF(H58:P58,"◐ Partiel")+COUNTIF(H58:P58,"☐ Non implémenté")+COUNTIF(H58:P58,"☐ Non")),"")</x:f>
      </x:c>
      <x:c r="R58" s="82"/>
      <x:c r="S58" s="82"/>
      <x:c r="T58" s="82"/>
      <x:c r="U58" s="82"/>
      <x:c r="V58" s="84" t="str">
        <x:f>IFERROR((COUNTIF(R58:U58,"☑ Implémenté")+COUNTIF(R58:U58,"☑ Oui")+0.5*COUNTIF(R58:U58,"◐ Partiel"))/(COUNTIF(R58:U58,"☑ Implémenté")+COUNTIF(R58:U58,"☑ Oui")+COUNTIF(R58:U58,"◐ Partiel")+COUNTIF(R58:U58,"☐ Non implémenté")+COUNTIF(R58:U58,"☐ Non")),"")</x:f>
      </x:c>
      <x:c r="W58" s="82"/>
      <x:c r="X58" s="82"/>
      <x:c r="Y58" s="84" t="str">
        <x:f>IFERROR((COUNTIF(W58:X58,"☑ Implémenté")+COUNTIF(W58:X58,"☑ Oui")+0.5*COUNTIF(W58:X58,"◐ Partiel"))/(COUNTIF(W58:X58,"☑ Implémenté")+COUNTIF(W58:X58,"☑ Oui")+COUNTIF(W58:X58,"◐ Partiel")+COUNTIF(W58:X58,"☐ Non implémenté")+COUNTIF(W58:X58,"☐ Non")),"")</x:f>
      </x:c>
      <x:c r="Z58" s="82"/>
      <x:c r="AA58" s="82"/>
      <x:c r="AB58" s="82"/>
      <x:c r="AC58" s="82"/>
      <x:c r="AD58" s="82"/>
      <x:c r="AE58" s="82"/>
      <x:c r="AF58" s="82"/>
      <x:c r="AG58" s="84"/>
      <x:c r="AH58" s="82"/>
      <x:c r="AI58" s="82"/>
      <x:c r="AJ58" s="82"/>
      <x:c r="AK58" s="82"/>
      <x:c r="AL58" s="82"/>
      <x:c r="AM58" s="82"/>
      <x:c r="AN58" s="82"/>
      <x:c r="AO58" s="82"/>
      <x:c r="AP58" s="82"/>
      <x:c r="AQ58" s="82"/>
      <x:c r="AR58" s="82"/>
      <x:c r="AS58" s="82"/>
      <x:c r="AT58" s="82"/>
      <x:c r="AU58" s="82"/>
      <x:c r="AV58" s="82"/>
      <x:c r="AW58" s="82"/>
      <x:c r="AX58" s="82"/>
      <x:c r="AY58" s="82"/>
      <x:c r="AZ58" s="82"/>
      <x:c r="BA58" s="82"/>
      <x:c r="BB58" s="82"/>
      <x:c r="BC58" s="82"/>
      <x:c r="BD58" s="84" t="str">
        <x:f>IFERROR((COUNTIF(AZ58:BC58,"☑ Implémenté")+COUNTIF(AZ58:BC58,"☑ Oui")+0.5*COUNTIF(AZ58:BC58,"◐ Partiel"))/(COUNTIF(AZ58:BC58,"☑ Implémenté")+COUNTIF(AZ58:BC58,"☑ Oui")+COUNTIF(AZ58:BC58,"◐ Partiel")+COUNTIF(AZ58:BC58,"☐ Non implémenté")+COUNTIF(AZ58:BC58,"☐ Non")),"")</x:f>
      </x:c>
      <x:c r="BE58" s="84" t="str">
        <x:f>IFERROR((COUNTIF(H58:BD58,"☑ Implémenté")+COUNTIF(H58:BD58,"☑ Oui")+COUNTIF(H58:BD58,"DevOpsFundation")+0.5*COUNTIF(H58:BD58,"◐ Partiel"))/(COUNTIF(H58:BD58,"☑ Implémenté")+COUNTIF(H58:BD58,"☑ Oui")+COUNTIF(H58:BD58,"DevOpsFundation")+COUNTIF(H58:BD58,"◐ Partiel")+COUNTIF(H58:BD58,"☐ Non implémenté")+COUNTIF(H58:BD58,"☐ Non")),"")</x:f>
      </x:c>
      <x:c r="BF58" s="82" t="str">
        <x:f>IF(B58="","",COUNTIF(H58:BD58,"☐ Non implémenté")+COUNTIF(H58:BD58,"☐ Non")+COUNTIF(H58:BD58,"◐ Partiel"))</x:f>
      </x:c>
      <x:c r="BG58" s="82"/>
    </x:row>
    <x:row r="59">
      <x:c r="A59" s="82"/>
      <x:c r="B59" s="82"/>
      <x:c r="C59" s="82"/>
      <x:c r="D59" s="82"/>
      <x:c r="E59" s="82"/>
      <x:c r="F59" s="82"/>
      <x:c r="G59" s="82"/>
      <x:c r="H59" s="82"/>
      <x:c r="I59" s="82"/>
      <x:c r="J59" s="82"/>
      <x:c r="K59" s="82"/>
      <x:c r="L59" s="82"/>
      <x:c r="M59" s="82"/>
      <x:c r="N59" s="82"/>
      <x:c r="O59" s="82"/>
      <x:c r="P59" s="82"/>
      <x:c r="Q59" s="84" t="str">
        <x:f>IFERROR((COUNTIF(H59:P59,"☑ Implémenté")+COUNTIF(H59:P59,"☑ Oui")+0.5*COUNTIF(H59:P59,"◐ Partiel"))/(COUNTIF(H59:P59,"☑ Implémenté")+COUNTIF(H59:P59,"☑ Oui")+COUNTIF(H59:P59,"◐ Partiel")+COUNTIF(H59:P59,"☐ Non implémenté")+COUNTIF(H59:P59,"☐ Non")),"")</x:f>
      </x:c>
      <x:c r="R59" s="82"/>
      <x:c r="S59" s="82"/>
      <x:c r="T59" s="82"/>
      <x:c r="U59" s="82"/>
      <x:c r="V59" s="84" t="str">
        <x:f>IFERROR((COUNTIF(R59:U59,"☑ Implémenté")+COUNTIF(R59:U59,"☑ Oui")+0.5*COUNTIF(R59:U59,"◐ Partiel"))/(COUNTIF(R59:U59,"☑ Implémenté")+COUNTIF(R59:U59,"☑ Oui")+COUNTIF(R59:U59,"◐ Partiel")+COUNTIF(R59:U59,"☐ Non implémenté")+COUNTIF(R59:U59,"☐ Non")),"")</x:f>
      </x:c>
      <x:c r="W59" s="82"/>
      <x:c r="X59" s="82"/>
      <x:c r="Y59" s="84" t="str">
        <x:f>IFERROR((COUNTIF(W59:X59,"☑ Implémenté")+COUNTIF(W59:X59,"☑ Oui")+0.5*COUNTIF(W59:X59,"◐ Partiel"))/(COUNTIF(W59:X59,"☑ Implémenté")+COUNTIF(W59:X59,"☑ Oui")+COUNTIF(W59:X59,"◐ Partiel")+COUNTIF(W59:X59,"☐ Non implémenté")+COUNTIF(W59:X59,"☐ Non")),"")</x:f>
      </x:c>
      <x:c r="Z59" s="82"/>
      <x:c r="AA59" s="82"/>
      <x:c r="AB59" s="82"/>
      <x:c r="AC59" s="82"/>
      <x:c r="AD59" s="82"/>
      <x:c r="AE59" s="82"/>
      <x:c r="AF59" s="82"/>
      <x:c r="AG59" s="84"/>
      <x:c r="AH59" s="82"/>
      <x:c r="AI59" s="82"/>
      <x:c r="AJ59" s="82"/>
      <x:c r="AK59" s="82"/>
      <x:c r="AL59" s="82"/>
      <x:c r="AM59" s="82"/>
      <x:c r="AN59" s="82"/>
      <x:c r="AO59" s="82"/>
      <x:c r="AP59" s="82"/>
      <x:c r="AQ59" s="82"/>
      <x:c r="AR59" s="82"/>
      <x:c r="AS59" s="82"/>
      <x:c r="AT59" s="82"/>
      <x:c r="AU59" s="82"/>
      <x:c r="AV59" s="82"/>
      <x:c r="AW59" s="82"/>
      <x:c r="AX59" s="82"/>
      <x:c r="AY59" s="82"/>
      <x:c r="AZ59" s="82"/>
      <x:c r="BA59" s="82"/>
      <x:c r="BB59" s="82"/>
      <x:c r="BC59" s="82"/>
      <x:c r="BD59" s="84" t="str">
        <x:f>IFERROR((COUNTIF(AZ59:BC59,"☑ Implémenté")+COUNTIF(AZ59:BC59,"☑ Oui")+0.5*COUNTIF(AZ59:BC59,"◐ Partiel"))/(COUNTIF(AZ59:BC59,"☑ Implémenté")+COUNTIF(AZ59:BC59,"☑ Oui")+COUNTIF(AZ59:BC59,"◐ Partiel")+COUNTIF(AZ59:BC59,"☐ Non implémenté")+COUNTIF(AZ59:BC59,"☐ Non")),"")</x:f>
      </x:c>
      <x:c r="BE59" s="84" t="str">
        <x:f>IFERROR((COUNTIF(H59:BD59,"☑ Implémenté")+COUNTIF(H59:BD59,"☑ Oui")+COUNTIF(H59:BD59,"DevOpsFundation")+0.5*COUNTIF(H59:BD59,"◐ Partiel"))/(COUNTIF(H59:BD59,"☑ Implémenté")+COUNTIF(H59:BD59,"☑ Oui")+COUNTIF(H59:BD59,"DevOpsFundation")+COUNTIF(H59:BD59,"◐ Partiel")+COUNTIF(H59:BD59,"☐ Non implémenté")+COUNTIF(H59:BD59,"☐ Non")),"")</x:f>
      </x:c>
      <x:c r="BF59" s="82" t="str">
        <x:f>IF(B59="","",COUNTIF(H59:BD59,"☐ Non implémenté")+COUNTIF(H59:BD59,"☐ Non")+COUNTIF(H59:BD59,"◐ Partiel"))</x:f>
      </x:c>
      <x:c r="BG59" s="82"/>
    </x:row>
    <x:row r="60">
      <x:c r="A60" s="82"/>
      <x:c r="B60" s="82"/>
      <x:c r="C60" s="82"/>
      <x:c r="D60" s="82"/>
      <x:c r="E60" s="82"/>
      <x:c r="F60" s="82"/>
      <x:c r="G60" s="82"/>
      <x:c r="H60" s="82"/>
      <x:c r="I60" s="82"/>
      <x:c r="J60" s="82"/>
      <x:c r="K60" s="82"/>
      <x:c r="L60" s="82"/>
      <x:c r="M60" s="82"/>
      <x:c r="N60" s="82"/>
      <x:c r="O60" s="82"/>
      <x:c r="P60" s="82"/>
      <x:c r="Q60" s="84" t="str">
        <x:f>IFERROR((COUNTIF(H60:P60,"☑ Implémenté")+COUNTIF(H60:P60,"☑ Oui")+0.5*COUNTIF(H60:P60,"◐ Partiel"))/(COUNTIF(H60:P60,"☑ Implémenté")+COUNTIF(H60:P60,"☑ Oui")+COUNTIF(H60:P60,"◐ Partiel")+COUNTIF(H60:P60,"☐ Non implémenté")+COUNTIF(H60:P60,"☐ Non")),"")</x:f>
      </x:c>
      <x:c r="R60" s="82"/>
      <x:c r="S60" s="82"/>
      <x:c r="T60" s="82"/>
      <x:c r="U60" s="82"/>
      <x:c r="V60" s="84" t="str">
        <x:f>IFERROR((COUNTIF(R60:U60,"☑ Implémenté")+COUNTIF(R60:U60,"☑ Oui")+0.5*COUNTIF(R60:U60,"◐ Partiel"))/(COUNTIF(R60:U60,"☑ Implémenté")+COUNTIF(R60:U60,"☑ Oui")+COUNTIF(R60:U60,"◐ Partiel")+COUNTIF(R60:U60,"☐ Non implémenté")+COUNTIF(R60:U60,"☐ Non")),"")</x:f>
      </x:c>
      <x:c r="W60" s="82"/>
      <x:c r="X60" s="82"/>
      <x:c r="Y60" s="84" t="str">
        <x:f>IFERROR((COUNTIF(W60:X60,"☑ Implémenté")+COUNTIF(W60:X60,"☑ Oui")+0.5*COUNTIF(W60:X60,"◐ Partiel"))/(COUNTIF(W60:X60,"☑ Implémenté")+COUNTIF(W60:X60,"☑ Oui")+COUNTIF(W60:X60,"◐ Partiel")+COUNTIF(W60:X60,"☐ Non implémenté")+COUNTIF(W60:X60,"☐ Non")),"")</x:f>
      </x:c>
      <x:c r="Z60" s="82"/>
      <x:c r="AA60" s="82"/>
      <x:c r="AB60" s="82"/>
      <x:c r="AC60" s="82"/>
      <x:c r="AD60" s="82"/>
      <x:c r="AE60" s="82"/>
      <x:c r="AF60" s="82"/>
      <x:c r="AG60" s="84"/>
      <x:c r="AH60" s="82"/>
      <x:c r="AI60" s="82"/>
      <x:c r="AJ60" s="82"/>
      <x:c r="AK60" s="82"/>
      <x:c r="AL60" s="82"/>
      <x:c r="AM60" s="82"/>
      <x:c r="AN60" s="82"/>
      <x:c r="AO60" s="82"/>
      <x:c r="AP60" s="82"/>
      <x:c r="AQ60" s="82"/>
      <x:c r="AR60" s="82"/>
      <x:c r="AS60" s="82"/>
      <x:c r="AT60" s="82"/>
      <x:c r="AU60" s="82"/>
      <x:c r="AV60" s="82"/>
      <x:c r="AW60" s="82"/>
      <x:c r="AX60" s="82"/>
      <x:c r="AY60" s="82"/>
      <x:c r="AZ60" s="82"/>
      <x:c r="BA60" s="82"/>
      <x:c r="BB60" s="82"/>
      <x:c r="BC60" s="82"/>
      <x:c r="BD60" s="84" t="str">
        <x:f>IFERROR((COUNTIF(AZ60:BC60,"☑ Implémenté")+COUNTIF(AZ60:BC60,"☑ Oui")+0.5*COUNTIF(AZ60:BC60,"◐ Partiel"))/(COUNTIF(AZ60:BC60,"☑ Implémenté")+COUNTIF(AZ60:BC60,"☑ Oui")+COUNTIF(AZ60:BC60,"◐ Partiel")+COUNTIF(AZ60:BC60,"☐ Non implémenté")+COUNTIF(AZ60:BC60,"☐ Non")),"")</x:f>
      </x:c>
      <x:c r="BE60" s="84" t="str">
        <x:f>IFERROR((COUNTIF(H60:BD60,"☑ Implémenté")+COUNTIF(H60:BD60,"☑ Oui")+COUNTIF(H60:BD60,"DevOpsFundation")+0.5*COUNTIF(H60:BD60,"◐ Partiel"))/(COUNTIF(H60:BD60,"☑ Implémenté")+COUNTIF(H60:BD60,"☑ Oui")+COUNTIF(H60:BD60,"DevOpsFundation")+COUNTIF(H60:BD60,"◐ Partiel")+COUNTIF(H60:BD60,"☐ Non implémenté")+COUNTIF(H60:BD60,"☐ Non")),"")</x:f>
      </x:c>
      <x:c r="BF60" s="82" t="str">
        <x:f>IF(B60="","",COUNTIF(H60:BD60,"☐ Non implémenté")+COUNTIF(H60:BD60,"☐ Non")+COUNTIF(H60:BD60,"◐ Partiel"))</x:f>
      </x:c>
      <x:c r="BG60" s="82"/>
    </x:row>
    <x:row r="61">
      <x:c r="A61" s="82"/>
      <x:c r="B61" s="82"/>
      <x:c r="C61" s="82"/>
      <x:c r="D61" s="82"/>
      <x:c r="E61" s="82"/>
      <x:c r="F61" s="82"/>
      <x:c r="G61" s="82"/>
      <x:c r="H61" s="82"/>
      <x:c r="I61" s="82"/>
      <x:c r="J61" s="82"/>
      <x:c r="K61" s="82"/>
      <x:c r="L61" s="82"/>
      <x:c r="M61" s="82"/>
      <x:c r="N61" s="82"/>
      <x:c r="O61" s="82"/>
      <x:c r="P61" s="82"/>
      <x:c r="Q61" s="84" t="str">
        <x:f>IFERROR((COUNTIF(H61:P61,"☑ Implémenté")+COUNTIF(H61:P61,"☑ Oui")+0.5*COUNTIF(H61:P61,"◐ Partiel"))/(COUNTIF(H61:P61,"☑ Implémenté")+COUNTIF(H61:P61,"☑ Oui")+COUNTIF(H61:P61,"◐ Partiel")+COUNTIF(H61:P61,"☐ Non implémenté")+COUNTIF(H61:P61,"☐ Non")),"")</x:f>
      </x:c>
      <x:c r="R61" s="82"/>
      <x:c r="S61" s="82"/>
      <x:c r="T61" s="82"/>
      <x:c r="U61" s="82"/>
      <x:c r="V61" s="84" t="str">
        <x:f>IFERROR((COUNTIF(R61:U61,"☑ Implémenté")+COUNTIF(R61:U61,"☑ Oui")+0.5*COUNTIF(R61:U61,"◐ Partiel"))/(COUNTIF(R61:U61,"☑ Implémenté")+COUNTIF(R61:U61,"☑ Oui")+COUNTIF(R61:U61,"◐ Partiel")+COUNTIF(R61:U61,"☐ Non implémenté")+COUNTIF(R61:U61,"☐ Non")),"")</x:f>
      </x:c>
      <x:c r="W61" s="82"/>
      <x:c r="X61" s="82"/>
      <x:c r="Y61" s="84" t="str">
        <x:f>IFERROR((COUNTIF(W61:X61,"☑ Implémenté")+COUNTIF(W61:X61,"☑ Oui")+0.5*COUNTIF(W61:X61,"◐ Partiel"))/(COUNTIF(W61:X61,"☑ Implémenté")+COUNTIF(W61:X61,"☑ Oui")+COUNTIF(W61:X61,"◐ Partiel")+COUNTIF(W61:X61,"☐ Non implémenté")+COUNTIF(W61:X61,"☐ Non")),"")</x:f>
      </x:c>
      <x:c r="Z61" s="82"/>
      <x:c r="AA61" s="82"/>
      <x:c r="AB61" s="82"/>
      <x:c r="AC61" s="82"/>
      <x:c r="AD61" s="82"/>
      <x:c r="AE61" s="82"/>
      <x:c r="AF61" s="82"/>
      <x:c r="AG61" s="84"/>
      <x:c r="AH61" s="82"/>
      <x:c r="AI61" s="82"/>
      <x:c r="AJ61" s="82"/>
      <x:c r="AK61" s="82"/>
      <x:c r="AL61" s="82"/>
      <x:c r="AM61" s="82"/>
      <x:c r="AN61" s="82"/>
      <x:c r="AO61" s="82"/>
      <x:c r="AP61" s="82"/>
      <x:c r="AQ61" s="82"/>
      <x:c r="AR61" s="82"/>
      <x:c r="AS61" s="82"/>
      <x:c r="AT61" s="82"/>
      <x:c r="AU61" s="82"/>
      <x:c r="AV61" s="82"/>
      <x:c r="AW61" s="82"/>
      <x:c r="AX61" s="82"/>
      <x:c r="AY61" s="82"/>
      <x:c r="AZ61" s="82"/>
      <x:c r="BA61" s="82"/>
      <x:c r="BB61" s="82"/>
      <x:c r="BC61" s="82"/>
      <x:c r="BD61" s="84" t="str">
        <x:f>IFERROR((COUNTIF(AZ61:BC61,"☑ Implémenté")+COUNTIF(AZ61:BC61,"☑ Oui")+0.5*COUNTIF(AZ61:BC61,"◐ Partiel"))/(COUNTIF(AZ61:BC61,"☑ Implémenté")+COUNTIF(AZ61:BC61,"☑ Oui")+COUNTIF(AZ61:BC61,"◐ Partiel")+COUNTIF(AZ61:BC61,"☐ Non implémenté")+COUNTIF(AZ61:BC61,"☐ Non")),"")</x:f>
      </x:c>
      <x:c r="BE61" s="84" t="str">
        <x:f>IFERROR((COUNTIF(H61:BD61,"☑ Implémenté")+COUNTIF(H61:BD61,"☑ Oui")+COUNTIF(H61:BD61,"DevOpsFundation")+0.5*COUNTIF(H61:BD61,"◐ Partiel"))/(COUNTIF(H61:BD61,"☑ Implémenté")+COUNTIF(H61:BD61,"☑ Oui")+COUNTIF(H61:BD61,"DevOpsFundation")+COUNTIF(H61:BD61,"◐ Partiel")+COUNTIF(H61:BD61,"☐ Non implémenté")+COUNTIF(H61:BD61,"☐ Non")),"")</x:f>
      </x:c>
      <x:c r="BF61" s="82" t="str">
        <x:f>IF(B61="","",COUNTIF(H61:BD61,"☐ Non implémenté")+COUNTIF(H61:BD61,"☐ Non")+COUNTIF(H61:BD61,"◐ Partiel"))</x:f>
      </x:c>
      <x:c r="BG61" s="82"/>
    </x:row>
    <x:row r="62">
      <x:c r="A62" s="82"/>
      <x:c r="B62" s="82"/>
      <x:c r="C62" s="82"/>
      <x:c r="D62" s="82"/>
      <x:c r="E62" s="82"/>
      <x:c r="F62" s="82"/>
      <x:c r="G62" s="82"/>
      <x:c r="H62" s="82"/>
      <x:c r="I62" s="82"/>
      <x:c r="J62" s="82"/>
      <x:c r="K62" s="82"/>
      <x:c r="L62" s="82"/>
      <x:c r="M62" s="82"/>
      <x:c r="N62" s="82"/>
      <x:c r="O62" s="82"/>
      <x:c r="P62" s="82"/>
      <x:c r="Q62" s="84" t="str">
        <x:f>IFERROR((COUNTIF(H62:P62,"☑ Implémenté")+COUNTIF(H62:P62,"☑ Oui")+0.5*COUNTIF(H62:P62,"◐ Partiel"))/(COUNTIF(H62:P62,"☑ Implémenté")+COUNTIF(H62:P62,"☑ Oui")+COUNTIF(H62:P62,"◐ Partiel")+COUNTIF(H62:P62,"☐ Non implémenté")+COUNTIF(H62:P62,"☐ Non")),"")</x:f>
      </x:c>
      <x:c r="R62" s="82"/>
      <x:c r="S62" s="82"/>
      <x:c r="T62" s="82"/>
      <x:c r="U62" s="82"/>
      <x:c r="V62" s="84" t="str">
        <x:f>IFERROR((COUNTIF(R62:U62,"☑ Implémenté")+COUNTIF(R62:U62,"☑ Oui")+0.5*COUNTIF(R62:U62,"◐ Partiel"))/(COUNTIF(R62:U62,"☑ Implémenté")+COUNTIF(R62:U62,"☑ Oui")+COUNTIF(R62:U62,"◐ Partiel")+COUNTIF(R62:U62,"☐ Non implémenté")+COUNTIF(R62:U62,"☐ Non")),"")</x:f>
      </x:c>
      <x:c r="W62" s="82"/>
      <x:c r="X62" s="82"/>
      <x:c r="Y62" s="84" t="str">
        <x:f>IFERROR((COUNTIF(W62:X62,"☑ Implémenté")+COUNTIF(W62:X62,"☑ Oui")+0.5*COUNTIF(W62:X62,"◐ Partiel"))/(COUNTIF(W62:X62,"☑ Implémenté")+COUNTIF(W62:X62,"☑ Oui")+COUNTIF(W62:X62,"◐ Partiel")+COUNTIF(W62:X62,"☐ Non implémenté")+COUNTIF(W62:X62,"☐ Non")),"")</x:f>
      </x:c>
      <x:c r="Z62" s="82"/>
      <x:c r="AA62" s="82"/>
      <x:c r="AB62" s="82"/>
      <x:c r="AC62" s="82"/>
      <x:c r="AD62" s="82"/>
      <x:c r="AE62" s="82"/>
      <x:c r="AF62" s="82"/>
      <x:c r="AG62" s="84"/>
      <x:c r="AH62" s="82"/>
      <x:c r="AI62" s="82"/>
      <x:c r="AJ62" s="82"/>
      <x:c r="AK62" s="82"/>
      <x:c r="AL62" s="82"/>
      <x:c r="AM62" s="82"/>
      <x:c r="AN62" s="82"/>
      <x:c r="AO62" s="82"/>
      <x:c r="AP62" s="82"/>
      <x:c r="AQ62" s="82"/>
      <x:c r="AR62" s="82"/>
      <x:c r="AS62" s="82"/>
      <x:c r="AT62" s="82"/>
      <x:c r="AU62" s="82"/>
      <x:c r="AV62" s="82"/>
      <x:c r="AW62" s="82"/>
      <x:c r="AX62" s="82"/>
      <x:c r="AY62" s="82"/>
      <x:c r="AZ62" s="82"/>
      <x:c r="BA62" s="82"/>
      <x:c r="BB62" s="82"/>
      <x:c r="BC62" s="82"/>
      <x:c r="BD62" s="84" t="str">
        <x:f>IFERROR((COUNTIF(AZ62:BC62,"☑ Implémenté")+COUNTIF(AZ62:BC62,"☑ Oui")+0.5*COUNTIF(AZ62:BC62,"◐ Partiel"))/(COUNTIF(AZ62:BC62,"☑ Implémenté")+COUNTIF(AZ62:BC62,"☑ Oui")+COUNTIF(AZ62:BC62,"◐ Partiel")+COUNTIF(AZ62:BC62,"☐ Non implémenté")+COUNTIF(AZ62:BC62,"☐ Non")),"")</x:f>
      </x:c>
      <x:c r="BE62" s="84" t="str">
        <x:f>IFERROR((COUNTIF(H62:BD62,"☑ Implémenté")+COUNTIF(H62:BD62,"☑ Oui")+COUNTIF(H62:BD62,"DevOpsFundation")+0.5*COUNTIF(H62:BD62,"◐ Partiel"))/(COUNTIF(H62:BD62,"☑ Implémenté")+COUNTIF(H62:BD62,"☑ Oui")+COUNTIF(H62:BD62,"DevOpsFundation")+COUNTIF(H62:BD62,"◐ Partiel")+COUNTIF(H62:BD62,"☐ Non implémenté")+COUNTIF(H62:BD62,"☐ Non")),"")</x:f>
      </x:c>
      <x:c r="BF62" s="82" t="str">
        <x:f>IF(B62="","",COUNTIF(H62:BD62,"☐ Non implémenté")+COUNTIF(H62:BD62,"☐ Non")+COUNTIF(H62:BD62,"◐ Partiel"))</x:f>
      </x:c>
      <x:c r="BG62" s="82"/>
    </x:row>
    <x:row r="63">
      <x:c r="A63" s="82"/>
      <x:c r="B63" s="82"/>
      <x:c r="C63" s="82"/>
      <x:c r="D63" s="82"/>
      <x:c r="E63" s="82"/>
      <x:c r="F63" s="82"/>
      <x:c r="G63" s="82"/>
      <x:c r="H63" s="82"/>
      <x:c r="I63" s="82"/>
      <x:c r="J63" s="82"/>
      <x:c r="K63" s="82"/>
      <x:c r="L63" s="82"/>
      <x:c r="M63" s="82"/>
      <x:c r="N63" s="82"/>
      <x:c r="O63" s="82"/>
      <x:c r="P63" s="82"/>
      <x:c r="Q63" s="84" t="str">
        <x:f>IFERROR((COUNTIF(H63:P63,"☑ Implémenté")+COUNTIF(H63:P63,"☑ Oui")+0.5*COUNTIF(H63:P63,"◐ Partiel"))/(COUNTIF(H63:P63,"☑ Implémenté")+COUNTIF(H63:P63,"☑ Oui")+COUNTIF(H63:P63,"◐ Partiel")+COUNTIF(H63:P63,"☐ Non implémenté")+COUNTIF(H63:P63,"☐ Non")),"")</x:f>
      </x:c>
      <x:c r="R63" s="82"/>
      <x:c r="S63" s="82"/>
      <x:c r="T63" s="82"/>
      <x:c r="U63" s="82"/>
      <x:c r="V63" s="84" t="str">
        <x:f>IFERROR((COUNTIF(R63:U63,"☑ Implémenté")+COUNTIF(R63:U63,"☑ Oui")+0.5*COUNTIF(R63:U63,"◐ Partiel"))/(COUNTIF(R63:U63,"☑ Implémenté")+COUNTIF(R63:U63,"☑ Oui")+COUNTIF(R63:U63,"◐ Partiel")+COUNTIF(R63:U63,"☐ Non implémenté")+COUNTIF(R63:U63,"☐ Non")),"")</x:f>
      </x:c>
      <x:c r="W63" s="82"/>
      <x:c r="X63" s="82"/>
      <x:c r="Y63" s="84" t="str">
        <x:f>IFERROR((COUNTIF(W63:X63,"☑ Implémenté")+COUNTIF(W63:X63,"☑ Oui")+0.5*COUNTIF(W63:X63,"◐ Partiel"))/(COUNTIF(W63:X63,"☑ Implémenté")+COUNTIF(W63:X63,"☑ Oui")+COUNTIF(W63:X63,"◐ Partiel")+COUNTIF(W63:X63,"☐ Non implémenté")+COUNTIF(W63:X63,"☐ Non")),"")</x:f>
      </x:c>
      <x:c r="Z63" s="82"/>
      <x:c r="AA63" s="82"/>
      <x:c r="AB63" s="82"/>
      <x:c r="AC63" s="82"/>
      <x:c r="AD63" s="82"/>
      <x:c r="AE63" s="82"/>
      <x:c r="AF63" s="82"/>
      <x:c r="AG63" s="84"/>
      <x:c r="AH63" s="82"/>
      <x:c r="AI63" s="82"/>
      <x:c r="AJ63" s="82"/>
      <x:c r="AK63" s="82"/>
      <x:c r="AL63" s="82"/>
      <x:c r="AM63" s="82"/>
      <x:c r="AN63" s="82"/>
      <x:c r="AO63" s="82"/>
      <x:c r="AP63" s="82"/>
      <x:c r="AQ63" s="82"/>
      <x:c r="AR63" s="82"/>
      <x:c r="AS63" s="82"/>
      <x:c r="AT63" s="82"/>
      <x:c r="AU63" s="82"/>
      <x:c r="AV63" s="82"/>
      <x:c r="AW63" s="82"/>
      <x:c r="AX63" s="82"/>
      <x:c r="AY63" s="82"/>
      <x:c r="AZ63" s="82"/>
      <x:c r="BA63" s="82"/>
      <x:c r="BB63" s="82"/>
      <x:c r="BC63" s="82"/>
      <x:c r="BD63" s="84" t="str">
        <x:f>IFERROR((COUNTIF(AZ63:BC63,"☑ Implémenté")+COUNTIF(AZ63:BC63,"☑ Oui")+0.5*COUNTIF(AZ63:BC63,"◐ Partiel"))/(COUNTIF(AZ63:BC63,"☑ Implémenté")+COUNTIF(AZ63:BC63,"☑ Oui")+COUNTIF(AZ63:BC63,"◐ Partiel")+COUNTIF(AZ63:BC63,"☐ Non implémenté")+COUNTIF(AZ63:BC63,"☐ Non")),"")</x:f>
      </x:c>
      <x:c r="BE63" s="84" t="str">
        <x:f>IFERROR((COUNTIF(H63:BD63,"☑ Implémenté")+COUNTIF(H63:BD63,"☑ Oui")+COUNTIF(H63:BD63,"DevOpsFundation")+0.5*COUNTIF(H63:BD63,"◐ Partiel"))/(COUNTIF(H63:BD63,"☑ Implémenté")+COUNTIF(H63:BD63,"☑ Oui")+COUNTIF(H63:BD63,"DevOpsFundation")+COUNTIF(H63:BD63,"◐ Partiel")+COUNTIF(H63:BD63,"☐ Non implémenté")+COUNTIF(H63:BD63,"☐ Non")),"")</x:f>
      </x:c>
      <x:c r="BF63" s="82" t="str">
        <x:f>IF(B63="","",COUNTIF(H63:BD63,"☐ Non implémenté")+COUNTIF(H63:BD63,"☐ Non")+COUNTIF(H63:BD63,"◐ Partiel"))</x:f>
      </x:c>
      <x:c r="BG63" s="82"/>
    </x:row>
    <x:row r="64">
      <x:c r="A64" s="82"/>
      <x:c r="B64" s="82"/>
      <x:c r="C64" s="82"/>
      <x:c r="D64" s="82"/>
      <x:c r="E64" s="82"/>
      <x:c r="F64" s="82"/>
      <x:c r="G64" s="82"/>
      <x:c r="H64" s="82"/>
      <x:c r="I64" s="82"/>
      <x:c r="J64" s="82"/>
      <x:c r="K64" s="82"/>
      <x:c r="L64" s="82"/>
      <x:c r="M64" s="82"/>
      <x:c r="N64" s="82"/>
      <x:c r="O64" s="82"/>
      <x:c r="P64" s="82"/>
      <x:c r="Q64" s="84" t="str">
        <x:f>IFERROR((COUNTIF(H64:P64,"☑ Implémenté")+COUNTIF(H64:P64,"☑ Oui")+0.5*COUNTIF(H64:P64,"◐ Partiel"))/(COUNTIF(H64:P64,"☑ Implémenté")+COUNTIF(H64:P64,"☑ Oui")+COUNTIF(H64:P64,"◐ Partiel")+COUNTIF(H64:P64,"☐ Non implémenté")+COUNTIF(H64:P64,"☐ Non")),"")</x:f>
      </x:c>
      <x:c r="R64" s="82"/>
      <x:c r="S64" s="82"/>
      <x:c r="T64" s="82"/>
      <x:c r="U64" s="82"/>
      <x:c r="V64" s="84" t="str">
        <x:f>IFERROR((COUNTIF(R64:U64,"☑ Implémenté")+COUNTIF(R64:U64,"☑ Oui")+0.5*COUNTIF(R64:U64,"◐ Partiel"))/(COUNTIF(R64:U64,"☑ Implémenté")+COUNTIF(R64:U64,"☑ Oui")+COUNTIF(R64:U64,"◐ Partiel")+COUNTIF(R64:U64,"☐ Non implémenté")+COUNTIF(R64:U64,"☐ Non")),"")</x:f>
      </x:c>
      <x:c r="W64" s="82"/>
      <x:c r="X64" s="82"/>
      <x:c r="Y64" s="84" t="str">
        <x:f>IFERROR((COUNTIF(W64:X64,"☑ Implémenté")+COUNTIF(W64:X64,"☑ Oui")+0.5*COUNTIF(W64:X64,"◐ Partiel"))/(COUNTIF(W64:X64,"☑ Implémenté")+COUNTIF(W64:X64,"☑ Oui")+COUNTIF(W64:X64,"◐ Partiel")+COUNTIF(W64:X64,"☐ Non implémenté")+COUNTIF(W64:X64,"☐ Non")),"")</x:f>
      </x:c>
      <x:c r="Z64" s="82"/>
      <x:c r="AA64" s="82"/>
      <x:c r="AB64" s="82"/>
      <x:c r="AC64" s="82"/>
      <x:c r="AD64" s="82"/>
      <x:c r="AE64" s="82"/>
      <x:c r="AF64" s="82"/>
      <x:c r="AG64" s="84"/>
      <x:c r="AH64" s="82"/>
      <x:c r="AI64" s="82"/>
      <x:c r="AJ64" s="82"/>
      <x:c r="AK64" s="82"/>
      <x:c r="AL64" s="82"/>
      <x:c r="AM64" s="82"/>
      <x:c r="AN64" s="82"/>
      <x:c r="AO64" s="82"/>
      <x:c r="AP64" s="82"/>
      <x:c r="AQ64" s="82"/>
      <x:c r="AR64" s="82"/>
      <x:c r="AS64" s="82"/>
      <x:c r="AT64" s="82"/>
      <x:c r="AU64" s="82"/>
      <x:c r="AV64" s="82"/>
      <x:c r="AW64" s="82"/>
      <x:c r="AX64" s="82"/>
      <x:c r="AY64" s="82"/>
      <x:c r="AZ64" s="82"/>
      <x:c r="BA64" s="82"/>
      <x:c r="BB64" s="82"/>
      <x:c r="BC64" s="82"/>
      <x:c r="BD64" s="84" t="str">
        <x:f>IFERROR((COUNTIF(AZ64:BC64,"☑ Implémenté")+COUNTIF(AZ64:BC64,"☑ Oui")+0.5*COUNTIF(AZ64:BC64,"◐ Partiel"))/(COUNTIF(AZ64:BC64,"☑ Implémenté")+COUNTIF(AZ64:BC64,"☑ Oui")+COUNTIF(AZ64:BC64,"◐ Partiel")+COUNTIF(AZ64:BC64,"☐ Non implémenté")+COUNTIF(AZ64:BC64,"☐ Non")),"")</x:f>
      </x:c>
      <x:c r="BE64" s="84" t="str">
        <x:f>IFERROR((COUNTIF(H64:BD64,"☑ Implémenté")+COUNTIF(H64:BD64,"☑ Oui")+COUNTIF(H64:BD64,"DevOpsFundation")+0.5*COUNTIF(H64:BD64,"◐ Partiel"))/(COUNTIF(H64:BD64,"☑ Implémenté")+COUNTIF(H64:BD64,"☑ Oui")+COUNTIF(H64:BD64,"DevOpsFundation")+COUNTIF(H64:BD64,"◐ Partiel")+COUNTIF(H64:BD64,"☐ Non implémenté")+COUNTIF(H64:BD64,"☐ Non")),"")</x:f>
      </x:c>
      <x:c r="BF64" s="82" t="str">
        <x:f>IF(B64="","",COUNTIF(H64:BD64,"☐ Non implémenté")+COUNTIF(H64:BD64,"☐ Non")+COUNTIF(H64:BD64,"◐ Partiel"))</x:f>
      </x:c>
      <x:c r="BG64" s="82"/>
    </x:row>
    <x:row r="65">
      <x:c r="A65" s="82"/>
      <x:c r="B65" s="82"/>
      <x:c r="C65" s="82"/>
      <x:c r="D65" s="82"/>
      <x:c r="E65" s="82"/>
      <x:c r="F65" s="82"/>
      <x:c r="G65" s="82"/>
      <x:c r="H65" s="82"/>
      <x:c r="I65" s="82"/>
      <x:c r="J65" s="82"/>
      <x:c r="K65" s="82"/>
      <x:c r="L65" s="82"/>
      <x:c r="M65" s="82"/>
      <x:c r="N65" s="82"/>
      <x:c r="O65" s="82"/>
      <x:c r="P65" s="82"/>
      <x:c r="Q65" s="84" t="str">
        <x:f>IFERROR((COUNTIF(H65:P65,"☑ Implémenté")+COUNTIF(H65:P65,"☑ Oui")+0.5*COUNTIF(H65:P65,"◐ Partiel"))/(COUNTIF(H65:P65,"☑ Implémenté")+COUNTIF(H65:P65,"☑ Oui")+COUNTIF(H65:P65,"◐ Partiel")+COUNTIF(H65:P65,"☐ Non implémenté")+COUNTIF(H65:P65,"☐ Non")),"")</x:f>
      </x:c>
      <x:c r="R65" s="82"/>
      <x:c r="S65" s="82"/>
      <x:c r="T65" s="82"/>
      <x:c r="U65" s="82"/>
      <x:c r="V65" s="84" t="str">
        <x:f>IFERROR((COUNTIF(R65:U65,"☑ Implémenté")+COUNTIF(R65:U65,"☑ Oui")+0.5*COUNTIF(R65:U65,"◐ Partiel"))/(COUNTIF(R65:U65,"☑ Implémenté")+COUNTIF(R65:U65,"☑ Oui")+COUNTIF(R65:U65,"◐ Partiel")+COUNTIF(R65:U65,"☐ Non implémenté")+COUNTIF(R65:U65,"☐ Non")),"")</x:f>
      </x:c>
      <x:c r="W65" s="82"/>
      <x:c r="X65" s="82"/>
      <x:c r="Y65" s="84" t="str">
        <x:f>IFERROR((COUNTIF(W65:X65,"☑ Implémenté")+COUNTIF(W65:X65,"☑ Oui")+0.5*COUNTIF(W65:X65,"◐ Partiel"))/(COUNTIF(W65:X65,"☑ Implémenté")+COUNTIF(W65:X65,"☑ Oui")+COUNTIF(W65:X65,"◐ Partiel")+COUNTIF(W65:X65,"☐ Non implémenté")+COUNTIF(W65:X65,"☐ Non")),"")</x:f>
      </x:c>
      <x:c r="Z65" s="82"/>
      <x:c r="AA65" s="82"/>
      <x:c r="AB65" s="82"/>
      <x:c r="AC65" s="82"/>
      <x:c r="AD65" s="82"/>
      <x:c r="AE65" s="82"/>
      <x:c r="AF65" s="82"/>
      <x:c r="AG65" s="84"/>
      <x:c r="AH65" s="82"/>
      <x:c r="AI65" s="82"/>
      <x:c r="AJ65" s="82"/>
      <x:c r="AK65" s="82"/>
      <x:c r="AL65" s="82"/>
      <x:c r="AM65" s="82"/>
      <x:c r="AN65" s="82"/>
      <x:c r="AO65" s="82"/>
      <x:c r="AP65" s="82"/>
      <x:c r="AQ65" s="82"/>
      <x:c r="AR65" s="82"/>
      <x:c r="AS65" s="82"/>
      <x:c r="AT65" s="82"/>
      <x:c r="AU65" s="82"/>
      <x:c r="AV65" s="82"/>
      <x:c r="AW65" s="82"/>
      <x:c r="AX65" s="82"/>
      <x:c r="AY65" s="82"/>
      <x:c r="AZ65" s="82"/>
      <x:c r="BA65" s="82"/>
      <x:c r="BB65" s="82"/>
      <x:c r="BC65" s="82"/>
      <x:c r="BD65" s="84" t="str">
        <x:f>IFERROR((COUNTIF(AZ65:BC65,"☑ Implémenté")+COUNTIF(AZ65:BC65,"☑ Oui")+0.5*COUNTIF(AZ65:BC65,"◐ Partiel"))/(COUNTIF(AZ65:BC65,"☑ Implémenté")+COUNTIF(AZ65:BC65,"☑ Oui")+COUNTIF(AZ65:BC65,"◐ Partiel")+COUNTIF(AZ65:BC65,"☐ Non implémenté")+COUNTIF(AZ65:BC65,"☐ Non")),"")</x:f>
      </x:c>
      <x:c r="BE65" s="84" t="str">
        <x:f>IFERROR((COUNTIF(H65:BD65,"☑ Implémenté")+COUNTIF(H65:BD65,"☑ Oui")+COUNTIF(H65:BD65,"DevOpsFundation")+0.5*COUNTIF(H65:BD65,"◐ Partiel"))/(COUNTIF(H65:BD65,"☑ Implémenté")+COUNTIF(H65:BD65,"☑ Oui")+COUNTIF(H65:BD65,"DevOpsFundation")+COUNTIF(H65:BD65,"◐ Partiel")+COUNTIF(H65:BD65,"☐ Non implémenté")+COUNTIF(H65:BD65,"☐ Non")),"")</x:f>
      </x:c>
      <x:c r="BF65" s="82" t="str">
        <x:f>IF(B65="","",COUNTIF(H65:BD65,"☐ Non implémenté")+COUNTIF(H65:BD65,"☐ Non")+COUNTIF(H65:BD65,"◐ Partiel"))</x:f>
      </x:c>
      <x:c r="BG65" s="82"/>
    </x:row>
    <x:row r="66">
      <x:c r="A66" s="82"/>
      <x:c r="B66" s="82"/>
      <x:c r="C66" s="82"/>
      <x:c r="D66" s="82"/>
      <x:c r="E66" s="82"/>
      <x:c r="F66" s="82"/>
      <x:c r="G66" s="82"/>
      <x:c r="H66" s="82"/>
      <x:c r="I66" s="82"/>
      <x:c r="J66" s="82"/>
      <x:c r="K66" s="82"/>
      <x:c r="L66" s="82"/>
      <x:c r="M66" s="82"/>
      <x:c r="N66" s="82"/>
      <x:c r="O66" s="82"/>
      <x:c r="P66" s="82"/>
      <x:c r="Q66" s="84" t="str">
        <x:f>IFERROR((COUNTIF(H66:P66,"☑ Implémenté")+COUNTIF(H66:P66,"☑ Oui")+0.5*COUNTIF(H66:P66,"◐ Partiel"))/(COUNTIF(H66:P66,"☑ Implémenté")+COUNTIF(H66:P66,"☑ Oui")+COUNTIF(H66:P66,"◐ Partiel")+COUNTIF(H66:P66,"☐ Non implémenté")+COUNTIF(H66:P66,"☐ Non")),"")</x:f>
      </x:c>
      <x:c r="R66" s="82"/>
      <x:c r="S66" s="82"/>
      <x:c r="T66" s="82"/>
      <x:c r="U66" s="82"/>
      <x:c r="V66" s="84" t="str">
        <x:f>IFERROR((COUNTIF(R66:U66,"☑ Implémenté")+COUNTIF(R66:U66,"☑ Oui")+0.5*COUNTIF(R66:U66,"◐ Partiel"))/(COUNTIF(R66:U66,"☑ Implémenté")+COUNTIF(R66:U66,"☑ Oui")+COUNTIF(R66:U66,"◐ Partiel")+COUNTIF(R66:U66,"☐ Non implémenté")+COUNTIF(R66:U66,"☐ Non")),"")</x:f>
      </x:c>
      <x:c r="W66" s="82"/>
      <x:c r="X66" s="82"/>
      <x:c r="Y66" s="84" t="str">
        <x:f>IFERROR((COUNTIF(W66:X66,"☑ Implémenté")+COUNTIF(W66:X66,"☑ Oui")+0.5*COUNTIF(W66:X66,"◐ Partiel"))/(COUNTIF(W66:X66,"☑ Implémenté")+COUNTIF(W66:X66,"☑ Oui")+COUNTIF(W66:X66,"◐ Partiel")+COUNTIF(W66:X66,"☐ Non implémenté")+COUNTIF(W66:X66,"☐ Non")),"")</x:f>
      </x:c>
      <x:c r="Z66" s="82"/>
      <x:c r="AA66" s="82"/>
      <x:c r="AB66" s="82"/>
      <x:c r="AC66" s="82"/>
      <x:c r="AD66" s="82"/>
      <x:c r="AE66" s="82"/>
      <x:c r="AF66" s="82"/>
      <x:c r="AG66" s="84"/>
      <x:c r="AH66" s="82"/>
      <x:c r="AI66" s="82"/>
      <x:c r="AJ66" s="82"/>
      <x:c r="AK66" s="82"/>
      <x:c r="AL66" s="82"/>
      <x:c r="AM66" s="82"/>
      <x:c r="AN66" s="82"/>
      <x:c r="AO66" s="82"/>
      <x:c r="AP66" s="82"/>
      <x:c r="AQ66" s="82"/>
      <x:c r="AR66" s="82"/>
      <x:c r="AS66" s="82"/>
      <x:c r="AT66" s="82"/>
      <x:c r="AU66" s="82"/>
      <x:c r="AV66" s="82"/>
      <x:c r="AW66" s="82"/>
      <x:c r="AX66" s="82"/>
      <x:c r="AY66" s="82"/>
      <x:c r="AZ66" s="82"/>
      <x:c r="BA66" s="82"/>
      <x:c r="BB66" s="82"/>
      <x:c r="BC66" s="82"/>
      <x:c r="BD66" s="84" t="str">
        <x:f>IFERROR((COUNTIF(AZ66:BC66,"☑ Implémenté")+COUNTIF(AZ66:BC66,"☑ Oui")+0.5*COUNTIF(AZ66:BC66,"◐ Partiel"))/(COUNTIF(AZ66:BC66,"☑ Implémenté")+COUNTIF(AZ66:BC66,"☑ Oui")+COUNTIF(AZ66:BC66,"◐ Partiel")+COUNTIF(AZ66:BC66,"☐ Non implémenté")+COUNTIF(AZ66:BC66,"☐ Non")),"")</x:f>
      </x:c>
      <x:c r="BE66" s="84" t="str">
        <x:f>IFERROR((COUNTIF(H66:BD66,"☑ Implémenté")+COUNTIF(H66:BD66,"☑ Oui")+COUNTIF(H66:BD66,"DevOpsFundation")+0.5*COUNTIF(H66:BD66,"◐ Partiel"))/(COUNTIF(H66:BD66,"☑ Implémenté")+COUNTIF(H66:BD66,"☑ Oui")+COUNTIF(H66:BD66,"DevOpsFundation")+COUNTIF(H66:BD66,"◐ Partiel")+COUNTIF(H66:BD66,"☐ Non implémenté")+COUNTIF(H66:BD66,"☐ Non")),"")</x:f>
      </x:c>
      <x:c r="BF66" s="82" t="str">
        <x:f>IF(B66="","",COUNTIF(H66:BD66,"☐ Non implémenté")+COUNTIF(H66:BD66,"☐ Non")+COUNTIF(H66:BD66,"◐ Partiel"))</x:f>
      </x:c>
      <x:c r="BG66" s="82"/>
    </x:row>
    <x:row r="67">
      <x:c r="A67" s="82"/>
      <x:c r="B67" s="82"/>
      <x:c r="C67" s="82"/>
      <x:c r="D67" s="82"/>
      <x:c r="E67" s="82"/>
      <x:c r="F67" s="82"/>
      <x:c r="G67" s="82"/>
      <x:c r="H67" s="82"/>
      <x:c r="I67" s="82"/>
      <x:c r="J67" s="82"/>
      <x:c r="K67" s="82"/>
      <x:c r="L67" s="82"/>
      <x:c r="M67" s="82"/>
      <x:c r="N67" s="82"/>
      <x:c r="O67" s="82"/>
      <x:c r="P67" s="82"/>
      <x:c r="Q67" s="84" t="str">
        <x:f>IFERROR((COUNTIF(H67:P67,"☑ Implémenté")+COUNTIF(H67:P67,"☑ Oui")+0.5*COUNTIF(H67:P67,"◐ Partiel"))/(COUNTIF(H67:P67,"☑ Implémenté")+COUNTIF(H67:P67,"☑ Oui")+COUNTIF(H67:P67,"◐ Partiel")+COUNTIF(H67:P67,"☐ Non implémenté")+COUNTIF(H67:P67,"☐ Non")),"")</x:f>
      </x:c>
      <x:c r="R67" s="82"/>
      <x:c r="S67" s="82"/>
      <x:c r="T67" s="82"/>
      <x:c r="U67" s="82"/>
      <x:c r="V67" s="84" t="str">
        <x:f>IFERROR((COUNTIF(R67:U67,"☑ Implémenté")+COUNTIF(R67:U67,"☑ Oui")+0.5*COUNTIF(R67:U67,"◐ Partiel"))/(COUNTIF(R67:U67,"☑ Implémenté")+COUNTIF(R67:U67,"☑ Oui")+COUNTIF(R67:U67,"◐ Partiel")+COUNTIF(R67:U67,"☐ Non implémenté")+COUNTIF(R67:U67,"☐ Non")),"")</x:f>
      </x:c>
      <x:c r="W67" s="82"/>
      <x:c r="X67" s="82"/>
      <x:c r="Y67" s="84" t="str">
        <x:f>IFERROR((COUNTIF(W67:X67,"☑ Implémenté")+COUNTIF(W67:X67,"☑ Oui")+0.5*COUNTIF(W67:X67,"◐ Partiel"))/(COUNTIF(W67:X67,"☑ Implémenté")+COUNTIF(W67:X67,"☑ Oui")+COUNTIF(W67:X67,"◐ Partiel")+COUNTIF(W67:X67,"☐ Non implémenté")+COUNTIF(W67:X67,"☐ Non")),"")</x:f>
      </x:c>
      <x:c r="Z67" s="82"/>
      <x:c r="AA67" s="82"/>
      <x:c r="AB67" s="82"/>
      <x:c r="AC67" s="82"/>
      <x:c r="AD67" s="82"/>
      <x:c r="AE67" s="82"/>
      <x:c r="AF67" s="82"/>
      <x:c r="AG67" s="84"/>
      <x:c r="AH67" s="82"/>
      <x:c r="AI67" s="82"/>
      <x:c r="AJ67" s="82"/>
      <x:c r="AK67" s="82"/>
      <x:c r="AL67" s="82"/>
      <x:c r="AM67" s="82"/>
      <x:c r="AN67" s="82"/>
      <x:c r="AO67" s="82"/>
      <x:c r="AP67" s="82"/>
      <x:c r="AQ67" s="82"/>
      <x:c r="AR67" s="82"/>
      <x:c r="AS67" s="82"/>
      <x:c r="AT67" s="82"/>
      <x:c r="AU67" s="82"/>
      <x:c r="AV67" s="82"/>
      <x:c r="AW67" s="82"/>
      <x:c r="AX67" s="82"/>
      <x:c r="AY67" s="82"/>
      <x:c r="AZ67" s="82"/>
      <x:c r="BA67" s="82"/>
      <x:c r="BB67" s="82"/>
      <x:c r="BC67" s="82"/>
      <x:c r="BD67" s="84" t="str">
        <x:f>IFERROR((COUNTIF(AZ67:BC67,"☑ Implémenté")+COUNTIF(AZ67:BC67,"☑ Oui")+0.5*COUNTIF(AZ67:BC67,"◐ Partiel"))/(COUNTIF(AZ67:BC67,"☑ Implémenté")+COUNTIF(AZ67:BC67,"☑ Oui")+COUNTIF(AZ67:BC67,"◐ Partiel")+COUNTIF(AZ67:BC67,"☐ Non implémenté")+COUNTIF(AZ67:BC67,"☐ Non")),"")</x:f>
      </x:c>
      <x:c r="BE67" s="84" t="str">
        <x:f>IFERROR((COUNTIF(H67:BD67,"☑ Implémenté")+COUNTIF(H67:BD67,"☑ Oui")+COUNTIF(H67:BD67,"DevOpsFundation")+0.5*COUNTIF(H67:BD67,"◐ Partiel"))/(COUNTIF(H67:BD67,"☑ Implémenté")+COUNTIF(H67:BD67,"☑ Oui")+COUNTIF(H67:BD67,"DevOpsFundation")+COUNTIF(H67:BD67,"◐ Partiel")+COUNTIF(H67:BD67,"☐ Non implémenté")+COUNTIF(H67:BD67,"☐ Non")),"")</x:f>
      </x:c>
      <x:c r="BF67" s="82" t="str">
        <x:f>IF(B67="","",COUNTIF(H67:BD67,"☐ Non implémenté")+COUNTIF(H67:BD67,"☐ Non")+COUNTIF(H67:BD67,"◐ Partiel"))</x:f>
      </x:c>
      <x:c r="BG67" s="82"/>
    </x:row>
    <x:row r="68">
      <x:c r="A68" s="82"/>
      <x:c r="B68" s="82"/>
      <x:c r="C68" s="82"/>
      <x:c r="D68" s="82"/>
      <x:c r="E68" s="82"/>
      <x:c r="F68" s="82"/>
      <x:c r="G68" s="82"/>
      <x:c r="H68" s="82"/>
      <x:c r="I68" s="82"/>
      <x:c r="J68" s="82"/>
      <x:c r="K68" s="82"/>
      <x:c r="L68" s="82"/>
      <x:c r="M68" s="82"/>
      <x:c r="N68" s="82"/>
      <x:c r="O68" s="82"/>
      <x:c r="P68" s="82"/>
      <x:c r="Q68" s="84" t="str">
        <x:f>IFERROR((COUNTIF(H68:P68,"☑ Implémenté")+COUNTIF(H68:P68,"☑ Oui")+0.5*COUNTIF(H68:P68,"◐ Partiel"))/(COUNTIF(H68:P68,"☑ Implémenté")+COUNTIF(H68:P68,"☑ Oui")+COUNTIF(H68:P68,"◐ Partiel")+COUNTIF(H68:P68,"☐ Non implémenté")+COUNTIF(H68:P68,"☐ Non")),"")</x:f>
      </x:c>
      <x:c r="R68" s="82"/>
      <x:c r="S68" s="82"/>
      <x:c r="T68" s="82"/>
      <x:c r="U68" s="82"/>
      <x:c r="V68" s="84" t="str">
        <x:f>IFERROR((COUNTIF(R68:U68,"☑ Implémenté")+COUNTIF(R68:U68,"☑ Oui")+0.5*COUNTIF(R68:U68,"◐ Partiel"))/(COUNTIF(R68:U68,"☑ Implémenté")+COUNTIF(R68:U68,"☑ Oui")+COUNTIF(R68:U68,"◐ Partiel")+COUNTIF(R68:U68,"☐ Non implémenté")+COUNTIF(R68:U68,"☐ Non")),"")</x:f>
      </x:c>
      <x:c r="W68" s="82"/>
      <x:c r="X68" s="82"/>
      <x:c r="Y68" s="84" t="str">
        <x:f>IFERROR((COUNTIF(W68:X68,"☑ Implémenté")+COUNTIF(W68:X68,"☑ Oui")+0.5*COUNTIF(W68:X68,"◐ Partiel"))/(COUNTIF(W68:X68,"☑ Implémenté")+COUNTIF(W68:X68,"☑ Oui")+COUNTIF(W68:X68,"◐ Partiel")+COUNTIF(W68:X68,"☐ Non implémenté")+COUNTIF(W68:X68,"☐ Non")),"")</x:f>
      </x:c>
      <x:c r="Z68" s="82"/>
      <x:c r="AA68" s="82"/>
      <x:c r="AB68" s="82"/>
      <x:c r="AC68" s="82"/>
      <x:c r="AD68" s="82"/>
      <x:c r="AE68" s="82"/>
      <x:c r="AF68" s="82"/>
      <x:c r="AG68" s="84"/>
      <x:c r="AH68" s="82"/>
      <x:c r="AI68" s="82"/>
      <x:c r="AJ68" s="82"/>
      <x:c r="AK68" s="82"/>
      <x:c r="AL68" s="82"/>
      <x:c r="AM68" s="82"/>
      <x:c r="AN68" s="82"/>
      <x:c r="AO68" s="82"/>
      <x:c r="AP68" s="82"/>
      <x:c r="AQ68" s="82"/>
      <x:c r="AR68" s="82"/>
      <x:c r="AS68" s="82"/>
      <x:c r="AT68" s="82"/>
      <x:c r="AU68" s="82"/>
      <x:c r="AV68" s="82"/>
      <x:c r="AW68" s="82"/>
      <x:c r="AX68" s="82"/>
      <x:c r="AY68" s="82"/>
      <x:c r="AZ68" s="82"/>
      <x:c r="BA68" s="82"/>
      <x:c r="BB68" s="82"/>
      <x:c r="BC68" s="82"/>
      <x:c r="BD68" s="84" t="str">
        <x:f>IFERROR((COUNTIF(AZ68:BC68,"☑ Implémenté")+COUNTIF(AZ68:BC68,"☑ Oui")+0.5*COUNTIF(AZ68:BC68,"◐ Partiel"))/(COUNTIF(AZ68:BC68,"☑ Implémenté")+COUNTIF(AZ68:BC68,"☑ Oui")+COUNTIF(AZ68:BC68,"◐ Partiel")+COUNTIF(AZ68:BC68,"☐ Non implémenté")+COUNTIF(AZ68:BC68,"☐ Non")),"")</x:f>
      </x:c>
      <x:c r="BE68" s="84" t="str">
        <x:f>IFERROR((COUNTIF(H68:BD68,"☑ Implémenté")+COUNTIF(H68:BD68,"☑ Oui")+COUNTIF(H68:BD68,"DevOpsFundation")+0.5*COUNTIF(H68:BD68,"◐ Partiel"))/(COUNTIF(H68:BD68,"☑ Implémenté")+COUNTIF(H68:BD68,"☑ Oui")+COUNTIF(H68:BD68,"DevOpsFundation")+COUNTIF(H68:BD68,"◐ Partiel")+COUNTIF(H68:BD68,"☐ Non implémenté")+COUNTIF(H68:BD68,"☐ Non")),"")</x:f>
      </x:c>
      <x:c r="BF68" s="82" t="str">
        <x:f>IF(B68="","",COUNTIF(H68:BD68,"☐ Non implémenté")+COUNTIF(H68:BD68,"☐ Non")+COUNTIF(H68:BD68,"◐ Partiel"))</x:f>
      </x:c>
      <x:c r="BG68" s="82"/>
    </x:row>
    <x:row r="69">
      <x:c r="A69" s="82"/>
      <x:c r="B69" s="82"/>
      <x:c r="C69" s="82"/>
      <x:c r="D69" s="82"/>
      <x:c r="E69" s="82"/>
      <x:c r="F69" s="82"/>
      <x:c r="G69" s="82"/>
      <x:c r="H69" s="82"/>
      <x:c r="I69" s="82"/>
      <x:c r="J69" s="82"/>
      <x:c r="K69" s="82"/>
      <x:c r="L69" s="82"/>
      <x:c r="M69" s="82"/>
      <x:c r="N69" s="82"/>
      <x:c r="O69" s="82"/>
      <x:c r="P69" s="82"/>
      <x:c r="Q69" s="84" t="str">
        <x:f>IFERROR((COUNTIF(H69:P69,"☑ Implémenté")+COUNTIF(H69:P69,"☑ Oui")+0.5*COUNTIF(H69:P69,"◐ Partiel"))/(COUNTIF(H69:P69,"☑ Implémenté")+COUNTIF(H69:P69,"☑ Oui")+COUNTIF(H69:P69,"◐ Partiel")+COUNTIF(H69:P69,"☐ Non implémenté")+COUNTIF(H69:P69,"☐ Non")),"")</x:f>
      </x:c>
      <x:c r="R69" s="82"/>
      <x:c r="S69" s="82"/>
      <x:c r="T69" s="82"/>
      <x:c r="U69" s="82"/>
      <x:c r="V69" s="84" t="str">
        <x:f>IFERROR((COUNTIF(R69:U69,"☑ Implémenté")+COUNTIF(R69:U69,"☑ Oui")+0.5*COUNTIF(R69:U69,"◐ Partiel"))/(COUNTIF(R69:U69,"☑ Implémenté")+COUNTIF(R69:U69,"☑ Oui")+COUNTIF(R69:U69,"◐ Partiel")+COUNTIF(R69:U69,"☐ Non implémenté")+COUNTIF(R69:U69,"☐ Non")),"")</x:f>
      </x:c>
      <x:c r="W69" s="82"/>
      <x:c r="X69" s="82"/>
      <x:c r="Y69" s="84" t="str">
        <x:f>IFERROR((COUNTIF(W69:X69,"☑ Implémenté")+COUNTIF(W69:X69,"☑ Oui")+0.5*COUNTIF(W69:X69,"◐ Partiel"))/(COUNTIF(W69:X69,"☑ Implémenté")+COUNTIF(W69:X69,"☑ Oui")+COUNTIF(W69:X69,"◐ Partiel")+COUNTIF(W69:X69,"☐ Non implémenté")+COUNTIF(W69:X69,"☐ Non")),"")</x:f>
      </x:c>
      <x:c r="Z69" s="82"/>
      <x:c r="AA69" s="82"/>
      <x:c r="AB69" s="82"/>
      <x:c r="AC69" s="82"/>
      <x:c r="AD69" s="82"/>
      <x:c r="AE69" s="82"/>
      <x:c r="AF69" s="82"/>
      <x:c r="AG69" s="84"/>
      <x:c r="AH69" s="82"/>
      <x:c r="AI69" s="82"/>
      <x:c r="AJ69" s="82"/>
      <x:c r="AK69" s="82"/>
      <x:c r="AL69" s="82"/>
      <x:c r="AM69" s="82"/>
      <x:c r="AN69" s="82"/>
      <x:c r="AO69" s="82"/>
      <x:c r="AP69" s="82"/>
      <x:c r="AQ69" s="82"/>
      <x:c r="AR69" s="82"/>
      <x:c r="AS69" s="82"/>
      <x:c r="AT69" s="82"/>
      <x:c r="AU69" s="82"/>
      <x:c r="AV69" s="82"/>
      <x:c r="AW69" s="82"/>
      <x:c r="AX69" s="82"/>
      <x:c r="AY69" s="82"/>
      <x:c r="AZ69" s="82"/>
      <x:c r="BA69" s="82"/>
      <x:c r="BB69" s="82"/>
      <x:c r="BC69" s="82"/>
      <x:c r="BD69" s="84" t="str">
        <x:f>IFERROR((COUNTIF(AZ69:BC69,"☑ Implémenté")+COUNTIF(AZ69:BC69,"☑ Oui")+0.5*COUNTIF(AZ69:BC69,"◐ Partiel"))/(COUNTIF(AZ69:BC69,"☑ Implémenté")+COUNTIF(AZ69:BC69,"☑ Oui")+COUNTIF(AZ69:BC69,"◐ Partiel")+COUNTIF(AZ69:BC69,"☐ Non implémenté")+COUNTIF(AZ69:BC69,"☐ Non")),"")</x:f>
      </x:c>
      <x:c r="BE69" s="84" t="str">
        <x:f>IFERROR((COUNTIF(H69:BD69,"☑ Implémenté")+COUNTIF(H69:BD69,"☑ Oui")+COUNTIF(H69:BD69,"DevOpsFundation")+0.5*COUNTIF(H69:BD69,"◐ Partiel"))/(COUNTIF(H69:BD69,"☑ Implémenté")+COUNTIF(H69:BD69,"☑ Oui")+COUNTIF(H69:BD69,"DevOpsFundation")+COUNTIF(H69:BD69,"◐ Partiel")+COUNTIF(H69:BD69,"☐ Non implémenté")+COUNTIF(H69:BD69,"☐ Non")),"")</x:f>
      </x:c>
      <x:c r="BF69" s="82" t="str">
        <x:f>IF(B69="","",COUNTIF(H69:BD69,"☐ Non implémenté")+COUNTIF(H69:BD69,"☐ Non")+COUNTIF(H69:BD69,"◐ Partiel"))</x:f>
      </x:c>
      <x:c r="BG69" s="82"/>
    </x:row>
    <x:row r="70">
      <x:c r="A70" s="82"/>
      <x:c r="B70" s="82"/>
      <x:c r="C70" s="82"/>
      <x:c r="D70" s="82"/>
      <x:c r="E70" s="82"/>
      <x:c r="F70" s="82"/>
      <x:c r="G70" s="82"/>
      <x:c r="H70" s="82"/>
      <x:c r="I70" s="82"/>
      <x:c r="J70" s="82"/>
      <x:c r="K70" s="82"/>
      <x:c r="L70" s="82"/>
      <x:c r="M70" s="82"/>
      <x:c r="N70" s="82"/>
      <x:c r="O70" s="82"/>
      <x:c r="P70" s="82"/>
      <x:c r="Q70" s="84" t="str">
        <x:f>IFERROR((COUNTIF(H70:P70,"☑ Implémenté")+COUNTIF(H70:P70,"☑ Oui")+0.5*COUNTIF(H70:P70,"◐ Partiel"))/(COUNTIF(H70:P70,"☑ Implémenté")+COUNTIF(H70:P70,"☑ Oui")+COUNTIF(H70:P70,"◐ Partiel")+COUNTIF(H70:P70,"☐ Non implémenté")+COUNTIF(H70:P70,"☐ Non")),"")</x:f>
      </x:c>
      <x:c r="R70" s="82"/>
      <x:c r="S70" s="82"/>
      <x:c r="T70" s="82"/>
      <x:c r="U70" s="82"/>
      <x:c r="V70" s="84" t="str">
        <x:f>IFERROR((COUNTIF(R70:U70,"☑ Implémenté")+COUNTIF(R70:U70,"☑ Oui")+0.5*COUNTIF(R70:U70,"◐ Partiel"))/(COUNTIF(R70:U70,"☑ Implémenté")+COUNTIF(R70:U70,"☑ Oui")+COUNTIF(R70:U70,"◐ Partiel")+COUNTIF(R70:U70,"☐ Non implémenté")+COUNTIF(R70:U70,"☐ Non")),"")</x:f>
      </x:c>
      <x:c r="W70" s="82"/>
      <x:c r="X70" s="82"/>
      <x:c r="Y70" s="84" t="str">
        <x:f>IFERROR((COUNTIF(W70:X70,"☑ Implémenté")+COUNTIF(W70:X70,"☑ Oui")+0.5*COUNTIF(W70:X70,"◐ Partiel"))/(COUNTIF(W70:X70,"☑ Implémenté")+COUNTIF(W70:X70,"☑ Oui")+COUNTIF(W70:X70,"◐ Partiel")+COUNTIF(W70:X70,"☐ Non implémenté")+COUNTIF(W70:X70,"☐ Non")),"")</x:f>
      </x:c>
      <x:c r="Z70" s="82"/>
      <x:c r="AA70" s="82"/>
      <x:c r="AB70" s="82"/>
      <x:c r="AC70" s="82"/>
      <x:c r="AD70" s="82"/>
      <x:c r="AE70" s="82"/>
      <x:c r="AF70" s="82"/>
      <x:c r="AG70" s="84"/>
      <x:c r="AH70" s="82"/>
      <x:c r="AI70" s="82"/>
      <x:c r="AJ70" s="82"/>
      <x:c r="AK70" s="82"/>
      <x:c r="AL70" s="82"/>
      <x:c r="AM70" s="82"/>
      <x:c r="AN70" s="82"/>
      <x:c r="AO70" s="82"/>
      <x:c r="AP70" s="82"/>
      <x:c r="AQ70" s="82"/>
      <x:c r="AR70" s="82"/>
      <x:c r="AS70" s="82"/>
      <x:c r="AT70" s="82"/>
      <x:c r="AU70" s="82"/>
      <x:c r="AV70" s="82"/>
      <x:c r="AW70" s="82"/>
      <x:c r="AX70" s="82"/>
      <x:c r="AY70" s="82"/>
      <x:c r="AZ70" s="82"/>
      <x:c r="BA70" s="82"/>
      <x:c r="BB70" s="82"/>
      <x:c r="BC70" s="82"/>
      <x:c r="BD70" s="84" t="str">
        <x:f>IFERROR((COUNTIF(AZ70:BC70,"☑ Implémenté")+COUNTIF(AZ70:BC70,"☑ Oui")+0.5*COUNTIF(AZ70:BC70,"◐ Partiel"))/(COUNTIF(AZ70:BC70,"☑ Implémenté")+COUNTIF(AZ70:BC70,"☑ Oui")+COUNTIF(AZ70:BC70,"◐ Partiel")+COUNTIF(AZ70:BC70,"☐ Non implémenté")+COUNTIF(AZ70:BC70,"☐ Non")),"")</x:f>
      </x:c>
      <x:c r="BE70" s="84" t="str">
        <x:f>IFERROR((COUNTIF(H70:BD70,"☑ Implémenté")+COUNTIF(H70:BD70,"☑ Oui")+COUNTIF(H70:BD70,"DevOpsFundation")+0.5*COUNTIF(H70:BD70,"◐ Partiel"))/(COUNTIF(H70:BD70,"☑ Implémenté")+COUNTIF(H70:BD70,"☑ Oui")+COUNTIF(H70:BD70,"DevOpsFundation")+COUNTIF(H70:BD70,"◐ Partiel")+COUNTIF(H70:BD70,"☐ Non implémenté")+COUNTIF(H70:BD70,"☐ Non")),"")</x:f>
      </x:c>
      <x:c r="BF70" s="82" t="str">
        <x:f>IF(B70="","",COUNTIF(H70:BD70,"☐ Non implémenté")+COUNTIF(H70:BD70,"☐ Non")+COUNTIF(H70:BD70,"◐ Partiel"))</x:f>
      </x:c>
      <x:c r="BG70" s="82"/>
    </x:row>
    <x:row r="71">
      <x:c r="A71" s="82"/>
      <x:c r="B71" s="82"/>
      <x:c r="C71" s="82"/>
      <x:c r="D71" s="82"/>
      <x:c r="E71" s="82"/>
      <x:c r="F71" s="82"/>
      <x:c r="G71" s="82"/>
      <x:c r="H71" s="82"/>
      <x:c r="I71" s="82"/>
      <x:c r="J71" s="82"/>
      <x:c r="K71" s="82"/>
      <x:c r="L71" s="82"/>
      <x:c r="M71" s="82"/>
      <x:c r="N71" s="82"/>
      <x:c r="O71" s="82"/>
      <x:c r="P71" s="82"/>
      <x:c r="Q71" s="84" t="str">
        <x:f>IFERROR((COUNTIF(H71:P71,"☑ Implémenté")+COUNTIF(H71:P71,"☑ Oui")+0.5*COUNTIF(H71:P71,"◐ Partiel"))/(COUNTIF(H71:P71,"☑ Implémenté")+COUNTIF(H71:P71,"☑ Oui")+COUNTIF(H71:P71,"◐ Partiel")+COUNTIF(H71:P71,"☐ Non implémenté")+COUNTIF(H71:P71,"☐ Non")),"")</x:f>
      </x:c>
      <x:c r="R71" s="82"/>
      <x:c r="S71" s="82"/>
      <x:c r="T71" s="82"/>
      <x:c r="U71" s="82"/>
      <x:c r="V71" s="84" t="str">
        <x:f>IFERROR((COUNTIF(R71:U71,"☑ Implémenté")+COUNTIF(R71:U71,"☑ Oui")+0.5*COUNTIF(R71:U71,"◐ Partiel"))/(COUNTIF(R71:U71,"☑ Implémenté")+COUNTIF(R71:U71,"☑ Oui")+COUNTIF(R71:U71,"◐ Partiel")+COUNTIF(R71:U71,"☐ Non implémenté")+COUNTIF(R71:U71,"☐ Non")),"")</x:f>
      </x:c>
      <x:c r="W71" s="82"/>
      <x:c r="X71" s="82"/>
      <x:c r="Y71" s="84" t="str">
        <x:f>IFERROR((COUNTIF(W71:X71,"☑ Implémenté")+COUNTIF(W71:X71,"☑ Oui")+0.5*COUNTIF(W71:X71,"◐ Partiel"))/(COUNTIF(W71:X71,"☑ Implémenté")+COUNTIF(W71:X71,"☑ Oui")+COUNTIF(W71:X71,"◐ Partiel")+COUNTIF(W71:X71,"☐ Non implémenté")+COUNTIF(W71:X71,"☐ Non")),"")</x:f>
      </x:c>
      <x:c r="Z71" s="82"/>
      <x:c r="AA71" s="82"/>
      <x:c r="AB71" s="82"/>
      <x:c r="AC71" s="82"/>
      <x:c r="AD71" s="82"/>
      <x:c r="AE71" s="82"/>
      <x:c r="AF71" s="82"/>
      <x:c r="AG71" s="84"/>
      <x:c r="AH71" s="82"/>
      <x:c r="AI71" s="82"/>
      <x:c r="AJ71" s="82"/>
      <x:c r="AK71" s="82"/>
      <x:c r="AL71" s="82"/>
      <x:c r="AM71" s="82"/>
      <x:c r="AN71" s="82"/>
      <x:c r="AO71" s="82"/>
      <x:c r="AP71" s="82"/>
      <x:c r="AQ71" s="82"/>
      <x:c r="AR71" s="82"/>
      <x:c r="AS71" s="82"/>
      <x:c r="AT71" s="82"/>
      <x:c r="AU71" s="82"/>
      <x:c r="AV71" s="82"/>
      <x:c r="AW71" s="82"/>
      <x:c r="AX71" s="82"/>
      <x:c r="AY71" s="82"/>
      <x:c r="AZ71" s="82"/>
      <x:c r="BA71" s="82"/>
      <x:c r="BB71" s="82"/>
      <x:c r="BC71" s="82"/>
      <x:c r="BD71" s="84" t="str">
        <x:f>IFERROR((COUNTIF(AZ71:BC71,"☑ Implémenté")+COUNTIF(AZ71:BC71,"☑ Oui")+0.5*COUNTIF(AZ71:BC71,"◐ Partiel"))/(COUNTIF(AZ71:BC71,"☑ Implémenté")+COUNTIF(AZ71:BC71,"☑ Oui")+COUNTIF(AZ71:BC71,"◐ Partiel")+COUNTIF(AZ71:BC71,"☐ Non implémenté")+COUNTIF(AZ71:BC71,"☐ Non")),"")</x:f>
      </x:c>
      <x:c r="BE71" s="84" t="str">
        <x:f>IFERROR((COUNTIF(H71:BD71,"☑ Implémenté")+COUNTIF(H71:BD71,"☑ Oui")+COUNTIF(H71:BD71,"DevOpsFundation")+0.5*COUNTIF(H71:BD71,"◐ Partiel"))/(COUNTIF(H71:BD71,"☑ Implémenté")+COUNTIF(H71:BD71,"☑ Oui")+COUNTIF(H71:BD71,"DevOpsFundation")+COUNTIF(H71:BD71,"◐ Partiel")+COUNTIF(H71:BD71,"☐ Non implémenté")+COUNTIF(H71:BD71,"☐ Non")),"")</x:f>
      </x:c>
      <x:c r="BF71" s="82" t="str">
        <x:f>IF(B71="","",COUNTIF(H71:BD71,"☐ Non implémenté")+COUNTIF(H71:BD71,"☐ Non")+COUNTIF(H71:BD71,"◐ Partiel"))</x:f>
      </x:c>
      <x:c r="BG71" s="82"/>
    </x:row>
    <x:row r="72">
      <x:c r="A72" s="82"/>
      <x:c r="B72" s="82"/>
      <x:c r="C72" s="82"/>
      <x:c r="D72" s="82"/>
      <x:c r="E72" s="82"/>
      <x:c r="F72" s="82"/>
      <x:c r="G72" s="82"/>
      <x:c r="H72" s="82"/>
      <x:c r="I72" s="82"/>
      <x:c r="J72" s="82"/>
      <x:c r="K72" s="82"/>
      <x:c r="L72" s="82"/>
      <x:c r="M72" s="82"/>
      <x:c r="N72" s="82"/>
      <x:c r="O72" s="82"/>
      <x:c r="P72" s="82"/>
      <x:c r="Q72" s="84" t="str">
        <x:f>IFERROR((COUNTIF(H72:P72,"☑ Implémenté")+COUNTIF(H72:P72,"☑ Oui")+0.5*COUNTIF(H72:P72,"◐ Partiel"))/(COUNTIF(H72:P72,"☑ Implémenté")+COUNTIF(H72:P72,"☑ Oui")+COUNTIF(H72:P72,"◐ Partiel")+COUNTIF(H72:P72,"☐ Non implémenté")+COUNTIF(H72:P72,"☐ Non")),"")</x:f>
      </x:c>
      <x:c r="R72" s="82"/>
      <x:c r="S72" s="82"/>
      <x:c r="T72" s="82"/>
      <x:c r="U72" s="82"/>
      <x:c r="V72" s="84" t="str">
        <x:f>IFERROR((COUNTIF(R72:U72,"☑ Implémenté")+COUNTIF(R72:U72,"☑ Oui")+0.5*COUNTIF(R72:U72,"◐ Partiel"))/(COUNTIF(R72:U72,"☑ Implémenté")+COUNTIF(R72:U72,"☑ Oui")+COUNTIF(R72:U72,"◐ Partiel")+COUNTIF(R72:U72,"☐ Non implémenté")+COUNTIF(R72:U72,"☐ Non")),"")</x:f>
      </x:c>
      <x:c r="W72" s="82"/>
      <x:c r="X72" s="82"/>
      <x:c r="Y72" s="84" t="str">
        <x:f>IFERROR((COUNTIF(W72:X72,"☑ Implémenté")+COUNTIF(W72:X72,"☑ Oui")+0.5*COUNTIF(W72:X72,"◐ Partiel"))/(COUNTIF(W72:X72,"☑ Implémenté")+COUNTIF(W72:X72,"☑ Oui")+COUNTIF(W72:X72,"◐ Partiel")+COUNTIF(W72:X72,"☐ Non implémenté")+COUNTIF(W72:X72,"☐ Non")),"")</x:f>
      </x:c>
      <x:c r="Z72" s="82"/>
      <x:c r="AA72" s="82"/>
      <x:c r="AB72" s="82"/>
      <x:c r="AC72" s="82"/>
      <x:c r="AD72" s="82"/>
      <x:c r="AE72" s="82"/>
      <x:c r="AF72" s="82"/>
      <x:c r="AG72" s="84"/>
      <x:c r="AH72" s="82"/>
      <x:c r="AI72" s="82"/>
      <x:c r="AJ72" s="82"/>
      <x:c r="AK72" s="82"/>
      <x:c r="AL72" s="82"/>
      <x:c r="AM72" s="82"/>
      <x:c r="AN72" s="82"/>
      <x:c r="AO72" s="82"/>
      <x:c r="AP72" s="82"/>
      <x:c r="AQ72" s="82"/>
      <x:c r="AR72" s="82"/>
      <x:c r="AS72" s="82"/>
      <x:c r="AT72" s="82"/>
      <x:c r="AU72" s="82"/>
      <x:c r="AV72" s="82"/>
      <x:c r="AW72" s="82"/>
      <x:c r="AX72" s="82"/>
      <x:c r="AY72" s="82"/>
      <x:c r="AZ72" s="82"/>
      <x:c r="BA72" s="82"/>
      <x:c r="BB72" s="82"/>
      <x:c r="BC72" s="82"/>
      <x:c r="BD72" s="84" t="str">
        <x:f>IFERROR((COUNTIF(AZ72:BC72,"☑ Implémenté")+COUNTIF(AZ72:BC72,"☑ Oui")+0.5*COUNTIF(AZ72:BC72,"◐ Partiel"))/(COUNTIF(AZ72:BC72,"☑ Implémenté")+COUNTIF(AZ72:BC72,"☑ Oui")+COUNTIF(AZ72:BC72,"◐ Partiel")+COUNTIF(AZ72:BC72,"☐ Non implémenté")+COUNTIF(AZ72:BC72,"☐ Non")),"")</x:f>
      </x:c>
      <x:c r="BE72" s="84" t="str">
        <x:f>IFERROR((COUNTIF(H72:BD72,"☑ Implémenté")+COUNTIF(H72:BD72,"☑ Oui")+COUNTIF(H72:BD72,"DevOpsFundation")+0.5*COUNTIF(H72:BD72,"◐ Partiel"))/(COUNTIF(H72:BD72,"☑ Implémenté")+COUNTIF(H72:BD72,"☑ Oui")+COUNTIF(H72:BD72,"DevOpsFundation")+COUNTIF(H72:BD72,"◐ Partiel")+COUNTIF(H72:BD72,"☐ Non implémenté")+COUNTIF(H72:BD72,"☐ Non")),"")</x:f>
      </x:c>
      <x:c r="BF72" s="82" t="str">
        <x:f>IF(B72="","",COUNTIF(H72:BD72,"☐ Non implémenté")+COUNTIF(H72:BD72,"☐ Non")+COUNTIF(H72:BD72,"◐ Partiel"))</x:f>
      </x:c>
      <x:c r="BG72" s="82"/>
    </x:row>
    <x:row r="73">
      <x:c r="A73" s="82"/>
      <x:c r="B73" s="82"/>
      <x:c r="C73" s="82"/>
      <x:c r="D73" s="82"/>
      <x:c r="E73" s="82"/>
      <x:c r="F73" s="82"/>
      <x:c r="G73" s="82"/>
      <x:c r="H73" s="82"/>
      <x:c r="I73" s="82"/>
      <x:c r="J73" s="82"/>
      <x:c r="K73" s="82"/>
      <x:c r="L73" s="82"/>
      <x:c r="M73" s="82"/>
      <x:c r="N73" s="82"/>
      <x:c r="O73" s="82"/>
      <x:c r="P73" s="82"/>
      <x:c r="Q73" s="84" t="str">
        <x:f>IFERROR((COUNTIF(H73:P73,"☑ Implémenté")+COUNTIF(H73:P73,"☑ Oui")+0.5*COUNTIF(H73:P73,"◐ Partiel"))/(COUNTIF(H73:P73,"☑ Implémenté")+COUNTIF(H73:P73,"☑ Oui")+COUNTIF(H73:P73,"◐ Partiel")+COUNTIF(H73:P73,"☐ Non implémenté")+COUNTIF(H73:P73,"☐ Non")),"")</x:f>
      </x:c>
      <x:c r="R73" s="82"/>
      <x:c r="S73" s="82"/>
      <x:c r="T73" s="82"/>
      <x:c r="U73" s="82"/>
      <x:c r="V73" s="84" t="str">
        <x:f>IFERROR((COUNTIF(R73:U73,"☑ Implémenté")+COUNTIF(R73:U73,"☑ Oui")+0.5*COUNTIF(R73:U73,"◐ Partiel"))/(COUNTIF(R73:U73,"☑ Implémenté")+COUNTIF(R73:U73,"☑ Oui")+COUNTIF(R73:U73,"◐ Partiel")+COUNTIF(R73:U73,"☐ Non implémenté")+COUNTIF(R73:U73,"☐ Non")),"")</x:f>
      </x:c>
      <x:c r="W73" s="82"/>
      <x:c r="X73" s="82"/>
      <x:c r="Y73" s="84" t="str">
        <x:f>IFERROR((COUNTIF(W73:X73,"☑ Implémenté")+COUNTIF(W73:X73,"☑ Oui")+0.5*COUNTIF(W73:X73,"◐ Partiel"))/(COUNTIF(W73:X73,"☑ Implémenté")+COUNTIF(W73:X73,"☑ Oui")+COUNTIF(W73:X73,"◐ Partiel")+COUNTIF(W73:X73,"☐ Non implémenté")+COUNTIF(W73:X73,"☐ Non")),"")</x:f>
      </x:c>
      <x:c r="Z73" s="82"/>
      <x:c r="AA73" s="82"/>
      <x:c r="AB73" s="82"/>
      <x:c r="AC73" s="82"/>
      <x:c r="AD73" s="82"/>
      <x:c r="AE73" s="82"/>
      <x:c r="AF73" s="82"/>
      <x:c r="AG73" s="84"/>
      <x:c r="AH73" s="82"/>
      <x:c r="AI73" s="82"/>
      <x:c r="AJ73" s="82"/>
      <x:c r="AK73" s="82"/>
      <x:c r="AL73" s="82"/>
      <x:c r="AM73" s="82"/>
      <x:c r="AN73" s="82"/>
      <x:c r="AO73" s="82"/>
      <x:c r="AP73" s="82"/>
      <x:c r="AQ73" s="82"/>
      <x:c r="AR73" s="82"/>
      <x:c r="AS73" s="82"/>
      <x:c r="AT73" s="82"/>
      <x:c r="AU73" s="82"/>
      <x:c r="AV73" s="82"/>
      <x:c r="AW73" s="82"/>
      <x:c r="AX73" s="82"/>
      <x:c r="AY73" s="82"/>
      <x:c r="AZ73" s="82"/>
      <x:c r="BA73" s="82"/>
      <x:c r="BB73" s="82"/>
      <x:c r="BC73" s="82"/>
      <x:c r="BD73" s="84" t="str">
        <x:f>IFERROR((COUNTIF(AZ73:BC73,"☑ Implémenté")+COUNTIF(AZ73:BC73,"☑ Oui")+0.5*COUNTIF(AZ73:BC73,"◐ Partiel"))/(COUNTIF(AZ73:BC73,"☑ Implémenté")+COUNTIF(AZ73:BC73,"☑ Oui")+COUNTIF(AZ73:BC73,"◐ Partiel")+COUNTIF(AZ73:BC73,"☐ Non implémenté")+COUNTIF(AZ73:BC73,"☐ Non")),"")</x:f>
      </x:c>
      <x:c r="BE73" s="84" t="str">
        <x:f>IFERROR((COUNTIF(H73:BD73,"☑ Implémenté")+COUNTIF(H73:BD73,"☑ Oui")+COUNTIF(H73:BD73,"DevOpsFundation")+0.5*COUNTIF(H73:BD73,"◐ Partiel"))/(COUNTIF(H73:BD73,"☑ Implémenté")+COUNTIF(H73:BD73,"☑ Oui")+COUNTIF(H73:BD73,"DevOpsFundation")+COUNTIF(H73:BD73,"◐ Partiel")+COUNTIF(H73:BD73,"☐ Non implémenté")+COUNTIF(H73:BD73,"☐ Non")),"")</x:f>
      </x:c>
      <x:c r="BF73" s="82" t="str">
        <x:f>IF(B73="","",COUNTIF(H73:BD73,"☐ Non implémenté")+COUNTIF(H73:BD73,"☐ Non")+COUNTIF(H73:BD73,"◐ Partiel"))</x:f>
      </x:c>
      <x:c r="BG73" s="82"/>
    </x:row>
    <x:row r="74">
      <x:c r="A74" s="82"/>
      <x:c r="B74" s="82"/>
      <x:c r="C74" s="82"/>
      <x:c r="D74" s="82"/>
      <x:c r="E74" s="82"/>
      <x:c r="F74" s="82"/>
      <x:c r="G74" s="82"/>
      <x:c r="H74" s="82"/>
      <x:c r="I74" s="82"/>
      <x:c r="J74" s="82"/>
      <x:c r="K74" s="82"/>
      <x:c r="L74" s="82"/>
      <x:c r="M74" s="82"/>
      <x:c r="N74" s="82"/>
      <x:c r="O74" s="82"/>
      <x:c r="P74" s="82"/>
      <x:c r="Q74" s="84" t="str">
        <x:f>IFERROR((COUNTIF(H74:P74,"☑ Implémenté")+COUNTIF(H74:P74,"☑ Oui")+0.5*COUNTIF(H74:P74,"◐ Partiel"))/(COUNTIF(H74:P74,"☑ Implémenté")+COUNTIF(H74:P74,"☑ Oui")+COUNTIF(H74:P74,"◐ Partiel")+COUNTIF(H74:P74,"☐ Non implémenté")+COUNTIF(H74:P74,"☐ Non")),"")</x:f>
      </x:c>
      <x:c r="R74" s="82"/>
      <x:c r="S74" s="82"/>
      <x:c r="T74" s="82"/>
      <x:c r="U74" s="82"/>
      <x:c r="V74" s="84" t="str">
        <x:f>IFERROR((COUNTIF(R74:U74,"☑ Implémenté")+COUNTIF(R74:U74,"☑ Oui")+0.5*COUNTIF(R74:U74,"◐ Partiel"))/(COUNTIF(R74:U74,"☑ Implémenté")+COUNTIF(R74:U74,"☑ Oui")+COUNTIF(R74:U74,"◐ Partiel")+COUNTIF(R74:U74,"☐ Non implémenté")+COUNTIF(R74:U74,"☐ Non")),"")</x:f>
      </x:c>
      <x:c r="W74" s="82"/>
      <x:c r="X74" s="82"/>
      <x:c r="Y74" s="84" t="str">
        <x:f>IFERROR((COUNTIF(W74:X74,"☑ Implémenté")+COUNTIF(W74:X74,"☑ Oui")+0.5*COUNTIF(W74:X74,"◐ Partiel"))/(COUNTIF(W74:X74,"☑ Implémenté")+COUNTIF(W74:X74,"☑ Oui")+COUNTIF(W74:X74,"◐ Partiel")+COUNTIF(W74:X74,"☐ Non implémenté")+COUNTIF(W74:X74,"☐ Non")),"")</x:f>
      </x:c>
      <x:c r="Z74" s="82"/>
      <x:c r="AA74" s="82"/>
      <x:c r="AB74" s="82"/>
      <x:c r="AC74" s="82"/>
      <x:c r="AD74" s="82"/>
      <x:c r="AE74" s="82"/>
      <x:c r="AF74" s="82"/>
      <x:c r="AG74" s="84"/>
      <x:c r="AH74" s="82"/>
      <x:c r="AI74" s="82"/>
      <x:c r="AJ74" s="82"/>
      <x:c r="AK74" s="82"/>
      <x:c r="AL74" s="82"/>
      <x:c r="AM74" s="82"/>
      <x:c r="AN74" s="82"/>
      <x:c r="AO74" s="82"/>
      <x:c r="AP74" s="82"/>
      <x:c r="AQ74" s="82"/>
      <x:c r="AR74" s="82"/>
      <x:c r="AS74" s="82"/>
      <x:c r="AT74" s="82"/>
      <x:c r="AU74" s="82"/>
      <x:c r="AV74" s="82"/>
      <x:c r="AW74" s="82"/>
      <x:c r="AX74" s="82"/>
      <x:c r="AY74" s="82"/>
      <x:c r="AZ74" s="82"/>
      <x:c r="BA74" s="82"/>
      <x:c r="BB74" s="82"/>
      <x:c r="BC74" s="82"/>
      <x:c r="BD74" s="84" t="str">
        <x:f>IFERROR((COUNTIF(AZ74:BC74,"☑ Implémenté")+COUNTIF(AZ74:BC74,"☑ Oui")+0.5*COUNTIF(AZ74:BC74,"◐ Partiel"))/(COUNTIF(AZ74:BC74,"☑ Implémenté")+COUNTIF(AZ74:BC74,"☑ Oui")+COUNTIF(AZ74:BC74,"◐ Partiel")+COUNTIF(AZ74:BC74,"☐ Non implémenté")+COUNTIF(AZ74:BC74,"☐ Non")),"")</x:f>
      </x:c>
      <x:c r="BE74" s="84" t="str">
        <x:f>IFERROR((COUNTIF(H74:BD74,"☑ Implémenté")+COUNTIF(H74:BD74,"☑ Oui")+COUNTIF(H74:BD74,"DevOpsFundation")+0.5*COUNTIF(H74:BD74,"◐ Partiel"))/(COUNTIF(H74:BD74,"☑ Implémenté")+COUNTIF(H74:BD74,"☑ Oui")+COUNTIF(H74:BD74,"DevOpsFundation")+COUNTIF(H74:BD74,"◐ Partiel")+COUNTIF(H74:BD74,"☐ Non implémenté")+COUNTIF(H74:BD74,"☐ Non")),"")</x:f>
      </x:c>
      <x:c r="BF74" s="82" t="str">
        <x:f>IF(B74="","",COUNTIF(H74:BD74,"☐ Non implémenté")+COUNTIF(H74:BD74,"☐ Non")+COUNTIF(H74:BD74,"◐ Partiel"))</x:f>
      </x:c>
      <x:c r="BG74" s="82"/>
    </x:row>
    <x:row r="75">
      <x:c r="A75" s="82"/>
      <x:c r="B75" s="82"/>
      <x:c r="C75" s="82"/>
      <x:c r="D75" s="82"/>
      <x:c r="E75" s="82"/>
      <x:c r="F75" s="82"/>
      <x:c r="G75" s="82"/>
      <x:c r="H75" s="82"/>
      <x:c r="I75" s="82"/>
      <x:c r="J75" s="82"/>
      <x:c r="K75" s="82"/>
      <x:c r="L75" s="82"/>
      <x:c r="M75" s="82"/>
      <x:c r="N75" s="82"/>
      <x:c r="O75" s="82"/>
      <x:c r="P75" s="82"/>
      <x:c r="Q75" s="84" t="str">
        <x:f>IFERROR((COUNTIF(H75:P75,"☑ Implémenté")+COUNTIF(H75:P75,"☑ Oui")+0.5*COUNTIF(H75:P75,"◐ Partiel"))/(COUNTIF(H75:P75,"☑ Implémenté")+COUNTIF(H75:P75,"☑ Oui")+COUNTIF(H75:P75,"◐ Partiel")+COUNTIF(H75:P75,"☐ Non implémenté")+COUNTIF(H75:P75,"☐ Non")),"")</x:f>
      </x:c>
      <x:c r="R75" s="82"/>
      <x:c r="S75" s="82"/>
      <x:c r="T75" s="82"/>
      <x:c r="U75" s="82"/>
      <x:c r="V75" s="84" t="str">
        <x:f>IFERROR((COUNTIF(R75:U75,"☑ Implémenté")+COUNTIF(R75:U75,"☑ Oui")+0.5*COUNTIF(R75:U75,"◐ Partiel"))/(COUNTIF(R75:U75,"☑ Implémenté")+COUNTIF(R75:U75,"☑ Oui")+COUNTIF(R75:U75,"◐ Partiel")+COUNTIF(R75:U75,"☐ Non implémenté")+COUNTIF(R75:U75,"☐ Non")),"")</x:f>
      </x:c>
      <x:c r="W75" s="82"/>
      <x:c r="X75" s="82"/>
      <x:c r="Y75" s="84" t="str">
        <x:f>IFERROR((COUNTIF(W75:X75,"☑ Implémenté")+COUNTIF(W75:X75,"☑ Oui")+0.5*COUNTIF(W75:X75,"◐ Partiel"))/(COUNTIF(W75:X75,"☑ Implémenté")+COUNTIF(W75:X75,"☑ Oui")+COUNTIF(W75:X75,"◐ Partiel")+COUNTIF(W75:X75,"☐ Non implémenté")+COUNTIF(W75:X75,"☐ Non")),"")</x:f>
      </x:c>
      <x:c r="Z75" s="82"/>
      <x:c r="AA75" s="82"/>
      <x:c r="AB75" s="82"/>
      <x:c r="AC75" s="82"/>
      <x:c r="AD75" s="82"/>
      <x:c r="AE75" s="82"/>
      <x:c r="AF75" s="82"/>
      <x:c r="AG75" s="84"/>
      <x:c r="AH75" s="82"/>
      <x:c r="AI75" s="82"/>
      <x:c r="AJ75" s="82"/>
      <x:c r="AK75" s="82"/>
      <x:c r="AL75" s="82"/>
      <x:c r="AM75" s="82"/>
      <x:c r="AN75" s="82"/>
      <x:c r="AO75" s="82"/>
      <x:c r="AP75" s="82"/>
      <x:c r="AQ75" s="82"/>
      <x:c r="AR75" s="82"/>
      <x:c r="AS75" s="82"/>
      <x:c r="AT75" s="82"/>
      <x:c r="AU75" s="82"/>
      <x:c r="AV75" s="82"/>
      <x:c r="AW75" s="82"/>
      <x:c r="AX75" s="82"/>
      <x:c r="AY75" s="82"/>
      <x:c r="AZ75" s="82"/>
      <x:c r="BA75" s="82"/>
      <x:c r="BB75" s="82"/>
      <x:c r="BC75" s="82"/>
      <x:c r="BD75" s="84" t="str">
        <x:f>IFERROR((COUNTIF(AZ75:BC75,"☑ Implémenté")+COUNTIF(AZ75:BC75,"☑ Oui")+0.5*COUNTIF(AZ75:BC75,"◐ Partiel"))/(COUNTIF(AZ75:BC75,"☑ Implémenté")+COUNTIF(AZ75:BC75,"☑ Oui")+COUNTIF(AZ75:BC75,"◐ Partiel")+COUNTIF(AZ75:BC75,"☐ Non implémenté")+COUNTIF(AZ75:BC75,"☐ Non")),"")</x:f>
      </x:c>
      <x:c r="BE75" s="84" t="str">
        <x:f>IFERROR((COUNTIF(H75:BD75,"☑ Implémenté")+COUNTIF(H75:BD75,"☑ Oui")+COUNTIF(H75:BD75,"DevOpsFundation")+0.5*COUNTIF(H75:BD75,"◐ Partiel"))/(COUNTIF(H75:BD75,"☑ Implémenté")+COUNTIF(H75:BD75,"☑ Oui")+COUNTIF(H75:BD75,"DevOpsFundation")+COUNTIF(H75:BD75,"◐ Partiel")+COUNTIF(H75:BD75,"☐ Non implémenté")+COUNTIF(H75:BD75,"☐ Non")),"")</x:f>
      </x:c>
      <x:c r="BF75" s="82" t="str">
        <x:f>IF(B75="","",COUNTIF(H75:BD75,"☐ Non implémenté")+COUNTIF(H75:BD75,"☐ Non")+COUNTIF(H75:BD75,"◐ Partiel"))</x:f>
      </x:c>
      <x:c r="BG75" s="82"/>
    </x:row>
    <x:row r="76">
      <x:c r="A76" s="82"/>
      <x:c r="B76" s="82"/>
      <x:c r="C76" s="82"/>
      <x:c r="D76" s="82"/>
      <x:c r="E76" s="82"/>
      <x:c r="F76" s="82"/>
      <x:c r="G76" s="82"/>
      <x:c r="H76" s="82"/>
      <x:c r="I76" s="82"/>
      <x:c r="J76" s="82"/>
      <x:c r="K76" s="82"/>
      <x:c r="L76" s="82"/>
      <x:c r="M76" s="82"/>
      <x:c r="N76" s="82"/>
      <x:c r="O76" s="82"/>
      <x:c r="P76" s="82"/>
      <x:c r="Q76" s="84" t="str">
        <x:f>IFERROR((COUNTIF(H76:P76,"☑ Implémenté")+COUNTIF(H76:P76,"☑ Oui")+0.5*COUNTIF(H76:P76,"◐ Partiel"))/(COUNTIF(H76:P76,"☑ Implémenté")+COUNTIF(H76:P76,"☑ Oui")+COUNTIF(H76:P76,"◐ Partiel")+COUNTIF(H76:P76,"☐ Non implémenté")+COUNTIF(H76:P76,"☐ Non")),"")</x:f>
      </x:c>
      <x:c r="R76" s="82"/>
      <x:c r="S76" s="82"/>
      <x:c r="T76" s="82"/>
      <x:c r="U76" s="82"/>
      <x:c r="V76" s="84" t="str">
        <x:f>IFERROR((COUNTIF(R76:U76,"☑ Implémenté")+COUNTIF(R76:U76,"☑ Oui")+0.5*COUNTIF(R76:U76,"◐ Partiel"))/(COUNTIF(R76:U76,"☑ Implémenté")+COUNTIF(R76:U76,"☑ Oui")+COUNTIF(R76:U76,"◐ Partiel")+COUNTIF(R76:U76,"☐ Non implémenté")+COUNTIF(R76:U76,"☐ Non")),"")</x:f>
      </x:c>
      <x:c r="W76" s="82"/>
      <x:c r="X76" s="82"/>
      <x:c r="Y76" s="84" t="str">
        <x:f>IFERROR((COUNTIF(W76:X76,"☑ Implémenté")+COUNTIF(W76:X76,"☑ Oui")+0.5*COUNTIF(W76:X76,"◐ Partiel"))/(COUNTIF(W76:X76,"☑ Implémenté")+COUNTIF(W76:X76,"☑ Oui")+COUNTIF(W76:X76,"◐ Partiel")+COUNTIF(W76:X76,"☐ Non implémenté")+COUNTIF(W76:X76,"☐ Non")),"")</x:f>
      </x:c>
      <x:c r="Z76" s="82"/>
      <x:c r="AA76" s="82"/>
      <x:c r="AB76" s="82"/>
      <x:c r="AC76" s="82"/>
      <x:c r="AD76" s="82"/>
      <x:c r="AE76" s="82"/>
      <x:c r="AF76" s="82"/>
      <x:c r="AG76" s="84"/>
      <x:c r="AH76" s="82"/>
      <x:c r="AI76" s="82"/>
      <x:c r="AJ76" s="82"/>
      <x:c r="AK76" s="82"/>
      <x:c r="AL76" s="82"/>
      <x:c r="AM76" s="82"/>
      <x:c r="AN76" s="82"/>
      <x:c r="AO76" s="82"/>
      <x:c r="AP76" s="82"/>
      <x:c r="AQ76" s="82"/>
      <x:c r="AR76" s="82"/>
      <x:c r="AS76" s="82"/>
      <x:c r="AT76" s="82"/>
      <x:c r="AU76" s="82"/>
      <x:c r="AV76" s="82"/>
      <x:c r="AW76" s="82"/>
      <x:c r="AX76" s="82"/>
      <x:c r="AY76" s="82"/>
      <x:c r="AZ76" s="82"/>
      <x:c r="BA76" s="82"/>
      <x:c r="BB76" s="82"/>
      <x:c r="BC76" s="82"/>
      <x:c r="BD76" s="84" t="str">
        <x:f>IFERROR((COUNTIF(AZ76:BC76,"☑ Implémenté")+COUNTIF(AZ76:BC76,"☑ Oui")+0.5*COUNTIF(AZ76:BC76,"◐ Partiel"))/(COUNTIF(AZ76:BC76,"☑ Implémenté")+COUNTIF(AZ76:BC76,"☑ Oui")+COUNTIF(AZ76:BC76,"◐ Partiel")+COUNTIF(AZ76:BC76,"☐ Non implémenté")+COUNTIF(AZ76:BC76,"☐ Non")),"")</x:f>
      </x:c>
      <x:c r="BE76" s="84" t="str">
        <x:f>IFERROR((COUNTIF(H76:BD76,"☑ Implémenté")+COUNTIF(H76:BD76,"☑ Oui")+COUNTIF(H76:BD76,"DevOpsFundation")+0.5*COUNTIF(H76:BD76,"◐ Partiel"))/(COUNTIF(H76:BD76,"☑ Implémenté")+COUNTIF(H76:BD76,"☑ Oui")+COUNTIF(H76:BD76,"DevOpsFundation")+COUNTIF(H76:BD76,"◐ Partiel")+COUNTIF(H76:BD76,"☐ Non implémenté")+COUNTIF(H76:BD76,"☐ Non")),"")</x:f>
      </x:c>
      <x:c r="BF76" s="82" t="str">
        <x:f>IF(B76="","",COUNTIF(H76:BD76,"☐ Non implémenté")+COUNTIF(H76:BD76,"☐ Non")+COUNTIF(H76:BD76,"◐ Partiel"))</x:f>
      </x:c>
      <x:c r="BG76" s="82"/>
    </x:row>
    <x:row r="77">
      <x:c r="A77" s="82"/>
      <x:c r="B77" s="82"/>
      <x:c r="C77" s="82"/>
      <x:c r="D77" s="82"/>
      <x:c r="E77" s="82"/>
      <x:c r="F77" s="82"/>
      <x:c r="G77" s="82"/>
      <x:c r="H77" s="82"/>
      <x:c r="I77" s="82"/>
      <x:c r="J77" s="82"/>
      <x:c r="K77" s="82"/>
      <x:c r="L77" s="82"/>
      <x:c r="M77" s="82"/>
      <x:c r="N77" s="82"/>
      <x:c r="O77" s="82"/>
      <x:c r="P77" s="82"/>
      <x:c r="Q77" s="84" t="str">
        <x:f>IFERROR((COUNTIF(H77:P77,"☑ Implémenté")+COUNTIF(H77:P77,"☑ Oui")+0.5*COUNTIF(H77:P77,"◐ Partiel"))/(COUNTIF(H77:P77,"☑ Implémenté")+COUNTIF(H77:P77,"☑ Oui")+COUNTIF(H77:P77,"◐ Partiel")+COUNTIF(H77:P77,"☐ Non implémenté")+COUNTIF(H77:P77,"☐ Non")),"")</x:f>
      </x:c>
      <x:c r="R77" s="82"/>
      <x:c r="S77" s="82"/>
      <x:c r="T77" s="82"/>
      <x:c r="U77" s="82"/>
      <x:c r="V77" s="84" t="str">
        <x:f>IFERROR((COUNTIF(R77:U77,"☑ Implémenté")+COUNTIF(R77:U77,"☑ Oui")+0.5*COUNTIF(R77:U77,"◐ Partiel"))/(COUNTIF(R77:U77,"☑ Implémenté")+COUNTIF(R77:U77,"☑ Oui")+COUNTIF(R77:U77,"◐ Partiel")+COUNTIF(R77:U77,"☐ Non implémenté")+COUNTIF(R77:U77,"☐ Non")),"")</x:f>
      </x:c>
      <x:c r="W77" s="82"/>
      <x:c r="X77" s="82"/>
      <x:c r="Y77" s="84" t="str">
        <x:f>IFERROR((COUNTIF(W77:X77,"☑ Implémenté")+COUNTIF(W77:X77,"☑ Oui")+0.5*COUNTIF(W77:X77,"◐ Partiel"))/(COUNTIF(W77:X77,"☑ Implémenté")+COUNTIF(W77:X77,"☑ Oui")+COUNTIF(W77:X77,"◐ Partiel")+COUNTIF(W77:X77,"☐ Non implémenté")+COUNTIF(W77:X77,"☐ Non")),"")</x:f>
      </x:c>
      <x:c r="Z77" s="82"/>
      <x:c r="AA77" s="82"/>
      <x:c r="AB77" s="82"/>
      <x:c r="AC77" s="82"/>
      <x:c r="AD77" s="82"/>
      <x:c r="AE77" s="82"/>
      <x:c r="AF77" s="82"/>
      <x:c r="AG77" s="84"/>
      <x:c r="AH77" s="82"/>
      <x:c r="AI77" s="82"/>
      <x:c r="AJ77" s="82"/>
      <x:c r="AK77" s="82"/>
      <x:c r="AL77" s="82"/>
      <x:c r="AM77" s="82"/>
      <x:c r="AN77" s="82"/>
      <x:c r="AO77" s="82"/>
      <x:c r="AP77" s="82"/>
      <x:c r="AQ77" s="82"/>
      <x:c r="AR77" s="82"/>
      <x:c r="AS77" s="82"/>
      <x:c r="AT77" s="82"/>
      <x:c r="AU77" s="82"/>
      <x:c r="AV77" s="82"/>
      <x:c r="AW77" s="82"/>
      <x:c r="AX77" s="82"/>
      <x:c r="AY77" s="82"/>
      <x:c r="AZ77" s="82"/>
      <x:c r="BA77" s="82"/>
      <x:c r="BB77" s="82"/>
      <x:c r="BC77" s="82"/>
      <x:c r="BD77" s="84" t="str">
        <x:f>IFERROR((COUNTIF(AZ77:BC77,"☑ Implémenté")+COUNTIF(AZ77:BC77,"☑ Oui")+0.5*COUNTIF(AZ77:BC77,"◐ Partiel"))/(COUNTIF(AZ77:BC77,"☑ Implémenté")+COUNTIF(AZ77:BC77,"☑ Oui")+COUNTIF(AZ77:BC77,"◐ Partiel")+COUNTIF(AZ77:BC77,"☐ Non implémenté")+COUNTIF(AZ77:BC77,"☐ Non")),"")</x:f>
      </x:c>
      <x:c r="BE77" s="84" t="str">
        <x:f>IFERROR((COUNTIF(H77:BD77,"☑ Implémenté")+COUNTIF(H77:BD77,"☑ Oui")+COUNTIF(H77:BD77,"DevOpsFundation")+0.5*COUNTIF(H77:BD77,"◐ Partiel"))/(COUNTIF(H77:BD77,"☑ Implémenté")+COUNTIF(H77:BD77,"☑ Oui")+COUNTIF(H77:BD77,"DevOpsFundation")+COUNTIF(H77:BD77,"◐ Partiel")+COUNTIF(H77:BD77,"☐ Non implémenté")+COUNTIF(H77:BD77,"☐ Non")),"")</x:f>
      </x:c>
      <x:c r="BF77" s="82" t="str">
        <x:f>IF(B77="","",COUNTIF(H77:BD77,"☐ Non implémenté")+COUNTIF(H77:BD77,"☐ Non")+COUNTIF(H77:BD77,"◐ Partiel"))</x:f>
      </x:c>
      <x:c r="BG77" s="82"/>
    </x:row>
    <x:row r="78">
      <x:c r="A78" s="82"/>
      <x:c r="B78" s="82"/>
      <x:c r="C78" s="82"/>
      <x:c r="D78" s="82"/>
      <x:c r="E78" s="82"/>
      <x:c r="F78" s="82"/>
      <x:c r="G78" s="82"/>
      <x:c r="H78" s="82"/>
      <x:c r="I78" s="82"/>
      <x:c r="J78" s="82"/>
      <x:c r="K78" s="82"/>
      <x:c r="L78" s="82"/>
      <x:c r="M78" s="82"/>
      <x:c r="N78" s="82"/>
      <x:c r="O78" s="82"/>
      <x:c r="P78" s="82"/>
      <x:c r="Q78" s="84" t="str">
        <x:f>IFERROR((COUNTIF(H78:P78,"☑ Implémenté")+COUNTIF(H78:P78,"☑ Oui")+0.5*COUNTIF(H78:P78,"◐ Partiel"))/(COUNTIF(H78:P78,"☑ Implémenté")+COUNTIF(H78:P78,"☑ Oui")+COUNTIF(H78:P78,"◐ Partiel")+COUNTIF(H78:P78,"☐ Non implémenté")+COUNTIF(H78:P78,"☐ Non")),"")</x:f>
      </x:c>
      <x:c r="R78" s="82"/>
      <x:c r="S78" s="82"/>
      <x:c r="T78" s="82"/>
      <x:c r="U78" s="82"/>
      <x:c r="V78" s="84" t="str">
        <x:f>IFERROR((COUNTIF(R78:U78,"☑ Implémenté")+COUNTIF(R78:U78,"☑ Oui")+0.5*COUNTIF(R78:U78,"◐ Partiel"))/(COUNTIF(R78:U78,"☑ Implémenté")+COUNTIF(R78:U78,"☑ Oui")+COUNTIF(R78:U78,"◐ Partiel")+COUNTIF(R78:U78,"☐ Non implémenté")+COUNTIF(R78:U78,"☐ Non")),"")</x:f>
      </x:c>
      <x:c r="W78" s="82"/>
      <x:c r="X78" s="82"/>
      <x:c r="Y78" s="84" t="str">
        <x:f>IFERROR((COUNTIF(W78:X78,"☑ Implémenté")+COUNTIF(W78:X78,"☑ Oui")+0.5*COUNTIF(W78:X78,"◐ Partiel"))/(COUNTIF(W78:X78,"☑ Implémenté")+COUNTIF(W78:X78,"☑ Oui")+COUNTIF(W78:X78,"◐ Partiel")+COUNTIF(W78:X78,"☐ Non implémenté")+COUNTIF(W78:X78,"☐ Non")),"")</x:f>
      </x:c>
      <x:c r="Z78" s="82"/>
      <x:c r="AA78" s="82"/>
      <x:c r="AB78" s="82"/>
      <x:c r="AC78" s="82"/>
      <x:c r="AD78" s="82"/>
      <x:c r="AE78" s="82"/>
      <x:c r="AF78" s="82"/>
      <x:c r="AG78" s="84"/>
      <x:c r="AH78" s="82"/>
      <x:c r="AI78" s="82"/>
      <x:c r="AJ78" s="82"/>
      <x:c r="AK78" s="82"/>
      <x:c r="AL78" s="82"/>
      <x:c r="AM78" s="82"/>
      <x:c r="AN78" s="82"/>
      <x:c r="AO78" s="82"/>
      <x:c r="AP78" s="82"/>
      <x:c r="AQ78" s="82"/>
      <x:c r="AR78" s="82"/>
      <x:c r="AS78" s="82"/>
      <x:c r="AT78" s="82"/>
      <x:c r="AU78" s="82"/>
      <x:c r="AV78" s="82"/>
      <x:c r="AW78" s="82"/>
      <x:c r="AX78" s="82"/>
      <x:c r="AY78" s="82"/>
      <x:c r="AZ78" s="82"/>
      <x:c r="BA78" s="82"/>
      <x:c r="BB78" s="82"/>
      <x:c r="BC78" s="82"/>
      <x:c r="BD78" s="84" t="str">
        <x:f>IFERROR((COUNTIF(AZ78:BC78,"☑ Implémenté")+COUNTIF(AZ78:BC78,"☑ Oui")+0.5*COUNTIF(AZ78:BC78,"◐ Partiel"))/(COUNTIF(AZ78:BC78,"☑ Implémenté")+COUNTIF(AZ78:BC78,"☑ Oui")+COUNTIF(AZ78:BC78,"◐ Partiel")+COUNTIF(AZ78:BC78,"☐ Non implémenté")+COUNTIF(AZ78:BC78,"☐ Non")),"")</x:f>
      </x:c>
      <x:c r="BE78" s="84" t="str">
        <x:f>IFERROR((COUNTIF(H78:BD78,"☑ Implémenté")+COUNTIF(H78:BD78,"☑ Oui")+COUNTIF(H78:BD78,"DevOpsFundation")+0.5*COUNTIF(H78:BD78,"◐ Partiel"))/(COUNTIF(H78:BD78,"☑ Implémenté")+COUNTIF(H78:BD78,"☑ Oui")+COUNTIF(H78:BD78,"DevOpsFundation")+COUNTIF(H78:BD78,"◐ Partiel")+COUNTIF(H78:BD78,"☐ Non implémenté")+COUNTIF(H78:BD78,"☐ Non")),"")</x:f>
      </x:c>
      <x:c r="BF78" s="82" t="str">
        <x:f>IF(B78="","",COUNTIF(H78:BD78,"☐ Non implémenté")+COUNTIF(H78:BD78,"☐ Non")+COUNTIF(H78:BD78,"◐ Partiel"))</x:f>
      </x:c>
      <x:c r="BG78" s="82"/>
    </x:row>
    <x:row r="79">
      <x:c r="A79" s="82"/>
      <x:c r="B79" s="82"/>
      <x:c r="C79" s="82"/>
      <x:c r="D79" s="82"/>
      <x:c r="E79" s="82"/>
      <x:c r="F79" s="82"/>
      <x:c r="G79" s="82"/>
      <x:c r="H79" s="82"/>
      <x:c r="I79" s="82"/>
      <x:c r="J79" s="82"/>
      <x:c r="K79" s="82"/>
      <x:c r="L79" s="82"/>
      <x:c r="M79" s="82"/>
      <x:c r="N79" s="82"/>
      <x:c r="O79" s="82"/>
      <x:c r="P79" s="82"/>
      <x:c r="Q79" s="84" t="str">
        <x:f>IFERROR((COUNTIF(H79:P79,"☑ Implémenté")+COUNTIF(H79:P79,"☑ Oui")+0.5*COUNTIF(H79:P79,"◐ Partiel"))/(COUNTIF(H79:P79,"☑ Implémenté")+COUNTIF(H79:P79,"☑ Oui")+COUNTIF(H79:P79,"◐ Partiel")+COUNTIF(H79:P79,"☐ Non implémenté")+COUNTIF(H79:P79,"☐ Non")),"")</x:f>
      </x:c>
      <x:c r="R79" s="82"/>
      <x:c r="S79" s="82"/>
      <x:c r="T79" s="82"/>
      <x:c r="U79" s="82"/>
      <x:c r="V79" s="84" t="str">
        <x:f>IFERROR((COUNTIF(R79:U79,"☑ Implémenté")+COUNTIF(R79:U79,"☑ Oui")+0.5*COUNTIF(R79:U79,"◐ Partiel"))/(COUNTIF(R79:U79,"☑ Implémenté")+COUNTIF(R79:U79,"☑ Oui")+COUNTIF(R79:U79,"◐ Partiel")+COUNTIF(R79:U79,"☐ Non implémenté")+COUNTIF(R79:U79,"☐ Non")),"")</x:f>
      </x:c>
      <x:c r="W79" s="82"/>
      <x:c r="X79" s="82"/>
      <x:c r="Y79" s="84" t="str">
        <x:f>IFERROR((COUNTIF(W79:X79,"☑ Implémenté")+COUNTIF(W79:X79,"☑ Oui")+0.5*COUNTIF(W79:X79,"◐ Partiel"))/(COUNTIF(W79:X79,"☑ Implémenté")+COUNTIF(W79:X79,"☑ Oui")+COUNTIF(W79:X79,"◐ Partiel")+COUNTIF(W79:X79,"☐ Non implémenté")+COUNTIF(W79:X79,"☐ Non")),"")</x:f>
      </x:c>
      <x:c r="Z79" s="82"/>
      <x:c r="AA79" s="82"/>
      <x:c r="AB79" s="82"/>
      <x:c r="AC79" s="82"/>
      <x:c r="AD79" s="82"/>
      <x:c r="AE79" s="82"/>
      <x:c r="AF79" s="82"/>
      <x:c r="AG79" s="84"/>
      <x:c r="AH79" s="82"/>
      <x:c r="AI79" s="82"/>
      <x:c r="AJ79" s="82"/>
      <x:c r="AK79" s="82"/>
      <x:c r="AL79" s="82"/>
      <x:c r="AM79" s="82"/>
      <x:c r="AN79" s="82"/>
      <x:c r="AO79" s="82"/>
      <x:c r="AP79" s="82"/>
      <x:c r="AQ79" s="82"/>
      <x:c r="AR79" s="82"/>
      <x:c r="AS79" s="82"/>
      <x:c r="AT79" s="82"/>
      <x:c r="AU79" s="82"/>
      <x:c r="AV79" s="82"/>
      <x:c r="AW79" s="82"/>
      <x:c r="AX79" s="82"/>
      <x:c r="AY79" s="82"/>
      <x:c r="AZ79" s="82"/>
      <x:c r="BA79" s="82"/>
      <x:c r="BB79" s="82"/>
      <x:c r="BC79" s="82"/>
      <x:c r="BD79" s="84" t="str">
        <x:f>IFERROR((COUNTIF(AZ79:BC79,"☑ Implémenté")+COUNTIF(AZ79:BC79,"☑ Oui")+0.5*COUNTIF(AZ79:BC79,"◐ Partiel"))/(COUNTIF(AZ79:BC79,"☑ Implémenté")+COUNTIF(AZ79:BC79,"☑ Oui")+COUNTIF(AZ79:BC79,"◐ Partiel")+COUNTIF(AZ79:BC79,"☐ Non implémenté")+COUNTIF(AZ79:BC79,"☐ Non")),"")</x:f>
      </x:c>
      <x:c r="BE79" s="84" t="str">
        <x:f>IFERROR((COUNTIF(H79:BD79,"☑ Implémenté")+COUNTIF(H79:BD79,"☑ Oui")+COUNTIF(H79:BD79,"DevOpsFundation")+0.5*COUNTIF(H79:BD79,"◐ Partiel"))/(COUNTIF(H79:BD79,"☑ Implémenté")+COUNTIF(H79:BD79,"☑ Oui")+COUNTIF(H79:BD79,"DevOpsFundation")+COUNTIF(H79:BD79,"◐ Partiel")+COUNTIF(H79:BD79,"☐ Non implémenté")+COUNTIF(H79:BD79,"☐ Non")),"")</x:f>
      </x:c>
      <x:c r="BF79" s="82" t="str">
        <x:f>IF(B79="","",COUNTIF(H79:BD79,"☐ Non implémenté")+COUNTIF(H79:BD79,"☐ Non")+COUNTIF(H79:BD79,"◐ Partiel"))</x:f>
      </x:c>
      <x:c r="BG79" s="82"/>
    </x:row>
    <x:row r="80">
      <x:c r="A80" s="82"/>
      <x:c r="B80" s="82"/>
      <x:c r="C80" s="82"/>
      <x:c r="D80" s="82"/>
      <x:c r="E80" s="82"/>
      <x:c r="F80" s="82"/>
      <x:c r="G80" s="82"/>
      <x:c r="H80" s="82"/>
      <x:c r="I80" s="82"/>
      <x:c r="J80" s="82"/>
      <x:c r="K80" s="82"/>
      <x:c r="L80" s="82"/>
      <x:c r="M80" s="82"/>
      <x:c r="N80" s="82"/>
      <x:c r="O80" s="82"/>
      <x:c r="P80" s="82"/>
      <x:c r="Q80" s="84" t="str">
        <x:f>IFERROR((COUNTIF(H80:P80,"☑ Implémenté")+COUNTIF(H80:P80,"☑ Oui")+0.5*COUNTIF(H80:P80,"◐ Partiel"))/(COUNTIF(H80:P80,"☑ Implémenté")+COUNTIF(H80:P80,"☑ Oui")+COUNTIF(H80:P80,"◐ Partiel")+COUNTIF(H80:P80,"☐ Non implémenté")+COUNTIF(H80:P80,"☐ Non")),"")</x:f>
      </x:c>
      <x:c r="R80" s="82"/>
      <x:c r="S80" s="82"/>
      <x:c r="T80" s="82"/>
      <x:c r="U80" s="82"/>
      <x:c r="V80" s="84" t="str">
        <x:f>IFERROR((COUNTIF(R80:U80,"☑ Implémenté")+COUNTIF(R80:U80,"☑ Oui")+0.5*COUNTIF(R80:U80,"◐ Partiel"))/(COUNTIF(R80:U80,"☑ Implémenté")+COUNTIF(R80:U80,"☑ Oui")+COUNTIF(R80:U80,"◐ Partiel")+COUNTIF(R80:U80,"☐ Non implémenté")+COUNTIF(R80:U80,"☐ Non")),"")</x:f>
      </x:c>
      <x:c r="W80" s="82"/>
      <x:c r="X80" s="82"/>
      <x:c r="Y80" s="84" t="str">
        <x:f>IFERROR((COUNTIF(W80:X80,"☑ Implémenté")+COUNTIF(W80:X80,"☑ Oui")+0.5*COUNTIF(W80:X80,"◐ Partiel"))/(COUNTIF(W80:X80,"☑ Implémenté")+COUNTIF(W80:X80,"☑ Oui")+COUNTIF(W80:X80,"◐ Partiel")+COUNTIF(W80:X80,"☐ Non implémenté")+COUNTIF(W80:X80,"☐ Non")),"")</x:f>
      </x:c>
      <x:c r="Z80" s="82"/>
      <x:c r="AA80" s="82"/>
      <x:c r="AB80" s="82"/>
      <x:c r="AC80" s="82"/>
      <x:c r="AD80" s="82"/>
      <x:c r="AE80" s="82"/>
      <x:c r="AF80" s="82"/>
      <x:c r="AG80" s="84"/>
      <x:c r="AH80" s="82"/>
      <x:c r="AI80" s="82"/>
      <x:c r="AJ80" s="82"/>
      <x:c r="AK80" s="82"/>
      <x:c r="AL80" s="82"/>
      <x:c r="AM80" s="82"/>
      <x:c r="AN80" s="82"/>
      <x:c r="AO80" s="82"/>
      <x:c r="AP80" s="82"/>
      <x:c r="AQ80" s="82"/>
      <x:c r="AR80" s="82"/>
      <x:c r="AS80" s="82"/>
      <x:c r="AT80" s="82"/>
      <x:c r="AU80" s="82"/>
      <x:c r="AV80" s="82"/>
      <x:c r="AW80" s="82"/>
      <x:c r="AX80" s="82"/>
      <x:c r="AY80" s="82"/>
      <x:c r="AZ80" s="82"/>
      <x:c r="BA80" s="82"/>
      <x:c r="BB80" s="82"/>
      <x:c r="BC80" s="82"/>
      <x:c r="BD80" s="84" t="str">
        <x:f>IFERROR((COUNTIF(AZ80:BC80,"☑ Implémenté")+COUNTIF(AZ80:BC80,"☑ Oui")+0.5*COUNTIF(AZ80:BC80,"◐ Partiel"))/(COUNTIF(AZ80:BC80,"☑ Implémenté")+COUNTIF(AZ80:BC80,"☑ Oui")+COUNTIF(AZ80:BC80,"◐ Partiel")+COUNTIF(AZ80:BC80,"☐ Non implémenté")+COUNTIF(AZ80:BC80,"☐ Non")),"")</x:f>
      </x:c>
      <x:c r="BE80" s="84" t="str">
        <x:f>IFERROR((COUNTIF(H80:BD80,"☑ Implémenté")+COUNTIF(H80:BD80,"☑ Oui")+COUNTIF(H80:BD80,"DevOpsFundation")+0.5*COUNTIF(H80:BD80,"◐ Partiel"))/(COUNTIF(H80:BD80,"☑ Implémenté")+COUNTIF(H80:BD80,"☑ Oui")+COUNTIF(H80:BD80,"DevOpsFundation")+COUNTIF(H80:BD80,"◐ Partiel")+COUNTIF(H80:BD80,"☐ Non implémenté")+COUNTIF(H80:BD80,"☐ Non")),"")</x:f>
      </x:c>
      <x:c r="BF80" s="82" t="str">
        <x:f>IF(B80="","",COUNTIF(H80:BD80,"☐ Non implémenté")+COUNTIF(H80:BD80,"☐ Non")+COUNTIF(H80:BD80,"◐ Partiel"))</x:f>
      </x:c>
      <x:c r="BG80" s="82"/>
    </x:row>
    <x:row r="81">
      <x:c r="A81" s="82"/>
      <x:c r="B81" s="82"/>
      <x:c r="C81" s="82"/>
      <x:c r="D81" s="82"/>
      <x:c r="E81" s="82"/>
      <x:c r="F81" s="82"/>
      <x:c r="G81" s="82"/>
      <x:c r="H81" s="82"/>
      <x:c r="I81" s="82"/>
      <x:c r="J81" s="82"/>
      <x:c r="K81" s="82"/>
      <x:c r="L81" s="82"/>
      <x:c r="M81" s="82"/>
      <x:c r="N81" s="82"/>
      <x:c r="O81" s="82"/>
      <x:c r="P81" s="82"/>
      <x:c r="Q81" s="84" t="str">
        <x:f>IFERROR((COUNTIF(H81:P81,"☑ Implémenté")+COUNTIF(H81:P81,"☑ Oui")+0.5*COUNTIF(H81:P81,"◐ Partiel"))/(COUNTIF(H81:P81,"☑ Implémenté")+COUNTIF(H81:P81,"☑ Oui")+COUNTIF(H81:P81,"◐ Partiel")+COUNTIF(H81:P81,"☐ Non implémenté")+COUNTIF(H81:P81,"☐ Non")),"")</x:f>
      </x:c>
      <x:c r="R81" s="82"/>
      <x:c r="S81" s="82"/>
      <x:c r="T81" s="82"/>
      <x:c r="U81" s="82"/>
      <x:c r="V81" s="84" t="str">
        <x:f>IFERROR((COUNTIF(R81:U81,"☑ Implémenté")+COUNTIF(R81:U81,"☑ Oui")+0.5*COUNTIF(R81:U81,"◐ Partiel"))/(COUNTIF(R81:U81,"☑ Implémenté")+COUNTIF(R81:U81,"☑ Oui")+COUNTIF(R81:U81,"◐ Partiel")+COUNTIF(R81:U81,"☐ Non implémenté")+COUNTIF(R81:U81,"☐ Non")),"")</x:f>
      </x:c>
      <x:c r="W81" s="82"/>
      <x:c r="X81" s="82"/>
      <x:c r="Y81" s="84" t="str">
        <x:f>IFERROR((COUNTIF(W81:X81,"☑ Implémenté")+COUNTIF(W81:X81,"☑ Oui")+0.5*COUNTIF(W81:X81,"◐ Partiel"))/(COUNTIF(W81:X81,"☑ Implémenté")+COUNTIF(W81:X81,"☑ Oui")+COUNTIF(W81:X81,"◐ Partiel")+COUNTIF(W81:X81,"☐ Non implémenté")+COUNTIF(W81:X81,"☐ Non")),"")</x:f>
      </x:c>
      <x:c r="Z81" s="82"/>
      <x:c r="AA81" s="82"/>
      <x:c r="AB81" s="82"/>
      <x:c r="AC81" s="82"/>
      <x:c r="AD81" s="82"/>
      <x:c r="AE81" s="82"/>
      <x:c r="AF81" s="82"/>
      <x:c r="AG81" s="84"/>
      <x:c r="AH81" s="82"/>
      <x:c r="AI81" s="82"/>
      <x:c r="AJ81" s="82"/>
      <x:c r="AK81" s="82"/>
      <x:c r="AL81" s="82"/>
      <x:c r="AM81" s="82"/>
      <x:c r="AN81" s="82"/>
      <x:c r="AO81" s="82"/>
      <x:c r="AP81" s="82"/>
      <x:c r="AQ81" s="82"/>
      <x:c r="AR81" s="82"/>
      <x:c r="AS81" s="82"/>
      <x:c r="AT81" s="82"/>
      <x:c r="AU81" s="82"/>
      <x:c r="AV81" s="82"/>
      <x:c r="AW81" s="82"/>
      <x:c r="AX81" s="82"/>
      <x:c r="AY81" s="82"/>
      <x:c r="AZ81" s="82"/>
      <x:c r="BA81" s="82"/>
      <x:c r="BB81" s="82"/>
      <x:c r="BC81" s="82"/>
      <x:c r="BD81" s="84" t="str">
        <x:f>IFERROR((COUNTIF(AZ81:BC81,"☑ Implémenté")+COUNTIF(AZ81:BC81,"☑ Oui")+0.5*COUNTIF(AZ81:BC81,"◐ Partiel"))/(COUNTIF(AZ81:BC81,"☑ Implémenté")+COUNTIF(AZ81:BC81,"☑ Oui")+COUNTIF(AZ81:BC81,"◐ Partiel")+COUNTIF(AZ81:BC81,"☐ Non implémenté")+COUNTIF(AZ81:BC81,"☐ Non")),"")</x:f>
      </x:c>
      <x:c r="BE81" s="84" t="str">
        <x:f>IFERROR((COUNTIF(H81:BD81,"☑ Implémenté")+COUNTIF(H81:BD81,"☑ Oui")+COUNTIF(H81:BD81,"DevOpsFundation")+0.5*COUNTIF(H81:BD81,"◐ Partiel"))/(COUNTIF(H81:BD81,"☑ Implémenté")+COUNTIF(H81:BD81,"☑ Oui")+COUNTIF(H81:BD81,"DevOpsFundation")+COUNTIF(H81:BD81,"◐ Partiel")+COUNTIF(H81:BD81,"☐ Non implémenté")+COUNTIF(H81:BD81,"☐ Non")),"")</x:f>
      </x:c>
      <x:c r="BF81" s="82" t="str">
        <x:f>IF(B81="","",COUNTIF(H81:BD81,"☐ Non implémenté")+COUNTIF(H81:BD81,"☐ Non")+COUNTIF(H81:BD81,"◐ Partiel"))</x:f>
      </x:c>
      <x:c r="BG81" s="82"/>
    </x:row>
    <x:row r="82">
      <x:c r="A82" s="82"/>
      <x:c r="B82" s="82"/>
      <x:c r="C82" s="82"/>
      <x:c r="D82" s="82"/>
      <x:c r="E82" s="82"/>
      <x:c r="F82" s="82"/>
      <x:c r="G82" s="82"/>
      <x:c r="H82" s="82"/>
      <x:c r="I82" s="82"/>
      <x:c r="J82" s="82"/>
      <x:c r="K82" s="82"/>
      <x:c r="L82" s="82"/>
      <x:c r="M82" s="82"/>
      <x:c r="N82" s="82"/>
      <x:c r="O82" s="82"/>
      <x:c r="P82" s="82"/>
      <x:c r="Q82" s="84" t="str">
        <x:f>IFERROR((COUNTIF(H82:P82,"☑ Implémenté")+COUNTIF(H82:P82,"☑ Oui")+0.5*COUNTIF(H82:P82,"◐ Partiel"))/(COUNTIF(H82:P82,"☑ Implémenté")+COUNTIF(H82:P82,"☑ Oui")+COUNTIF(H82:P82,"◐ Partiel")+COUNTIF(H82:P82,"☐ Non implémenté")+COUNTIF(H82:P82,"☐ Non")),"")</x:f>
      </x:c>
      <x:c r="R82" s="82"/>
      <x:c r="S82" s="82"/>
      <x:c r="T82" s="82"/>
      <x:c r="U82" s="82"/>
      <x:c r="V82" s="84" t="str">
        <x:f>IFERROR((COUNTIF(R82:U82,"☑ Implémenté")+COUNTIF(R82:U82,"☑ Oui")+0.5*COUNTIF(R82:U82,"◐ Partiel"))/(COUNTIF(R82:U82,"☑ Implémenté")+COUNTIF(R82:U82,"☑ Oui")+COUNTIF(R82:U82,"◐ Partiel")+COUNTIF(R82:U82,"☐ Non implémenté")+COUNTIF(R82:U82,"☐ Non")),"")</x:f>
      </x:c>
      <x:c r="W82" s="82"/>
      <x:c r="X82" s="82"/>
      <x:c r="Y82" s="84" t="str">
        <x:f>IFERROR((COUNTIF(W82:X82,"☑ Implémenté")+COUNTIF(W82:X82,"☑ Oui")+0.5*COUNTIF(W82:X82,"◐ Partiel"))/(COUNTIF(W82:X82,"☑ Implémenté")+COUNTIF(W82:X82,"☑ Oui")+COUNTIF(W82:X82,"◐ Partiel")+COUNTIF(W82:X82,"☐ Non implémenté")+COUNTIF(W82:X82,"☐ Non")),"")</x:f>
      </x:c>
      <x:c r="Z82" s="82"/>
      <x:c r="AA82" s="82"/>
      <x:c r="AB82" s="82"/>
      <x:c r="AC82" s="82"/>
      <x:c r="AD82" s="82"/>
      <x:c r="AE82" s="82"/>
      <x:c r="AF82" s="82"/>
      <x:c r="AG82" s="84"/>
      <x:c r="AH82" s="82"/>
      <x:c r="AI82" s="82"/>
      <x:c r="AJ82" s="82"/>
      <x:c r="AK82" s="82"/>
      <x:c r="AL82" s="82"/>
      <x:c r="AM82" s="82"/>
      <x:c r="AN82" s="82"/>
      <x:c r="AO82" s="82"/>
      <x:c r="AP82" s="82"/>
      <x:c r="AQ82" s="82"/>
      <x:c r="AR82" s="82"/>
      <x:c r="AS82" s="82"/>
      <x:c r="AT82" s="82"/>
      <x:c r="AU82" s="82"/>
      <x:c r="AV82" s="82"/>
      <x:c r="AW82" s="82"/>
      <x:c r="AX82" s="82"/>
      <x:c r="AY82" s="82"/>
      <x:c r="AZ82" s="82"/>
      <x:c r="BA82" s="82"/>
      <x:c r="BB82" s="82"/>
      <x:c r="BC82" s="82"/>
      <x:c r="BD82" s="84" t="str">
        <x:f>IFERROR((COUNTIF(AZ82:BC82,"☑ Implémenté")+COUNTIF(AZ82:BC82,"☑ Oui")+0.5*COUNTIF(AZ82:BC82,"◐ Partiel"))/(COUNTIF(AZ82:BC82,"☑ Implémenté")+COUNTIF(AZ82:BC82,"☑ Oui")+COUNTIF(AZ82:BC82,"◐ Partiel")+COUNTIF(AZ82:BC82,"☐ Non implémenté")+COUNTIF(AZ82:BC82,"☐ Non")),"")</x:f>
      </x:c>
      <x:c r="BE82" s="84" t="str">
        <x:f>IFERROR((COUNTIF(H82:BD82,"☑ Implémenté")+COUNTIF(H82:BD82,"☑ Oui")+COUNTIF(H82:BD82,"DevOpsFundation")+0.5*COUNTIF(H82:BD82,"◐ Partiel"))/(COUNTIF(H82:BD82,"☑ Implémenté")+COUNTIF(H82:BD82,"☑ Oui")+COUNTIF(H82:BD82,"DevOpsFundation")+COUNTIF(H82:BD82,"◐ Partiel")+COUNTIF(H82:BD82,"☐ Non implémenté")+COUNTIF(H82:BD82,"☐ Non")),"")</x:f>
      </x:c>
      <x:c r="BF82" s="82" t="str">
        <x:f>IF(B82="","",COUNTIF(H82:BD82,"☐ Non implémenté")+COUNTIF(H82:BD82,"☐ Non")+COUNTIF(H82:BD82,"◐ Partiel"))</x:f>
      </x:c>
      <x:c r="BG82" s="82"/>
    </x:row>
    <x:row r="83">
      <x:c r="A83" s="82"/>
      <x:c r="B83" s="82"/>
      <x:c r="C83" s="82"/>
      <x:c r="D83" s="82"/>
      <x:c r="E83" s="82"/>
      <x:c r="F83" s="82"/>
      <x:c r="G83" s="82"/>
      <x:c r="H83" s="82"/>
      <x:c r="I83" s="82"/>
      <x:c r="J83" s="82"/>
      <x:c r="K83" s="82"/>
      <x:c r="L83" s="82"/>
      <x:c r="M83" s="82"/>
      <x:c r="N83" s="82"/>
      <x:c r="O83" s="82"/>
      <x:c r="P83" s="82"/>
      <x:c r="Q83" s="84" t="str">
        <x:f>IFERROR((COUNTIF(H83:P83,"☑ Implémenté")+COUNTIF(H83:P83,"☑ Oui")+0.5*COUNTIF(H83:P83,"◐ Partiel"))/(COUNTIF(H83:P83,"☑ Implémenté")+COUNTIF(H83:P83,"☑ Oui")+COUNTIF(H83:P83,"◐ Partiel")+COUNTIF(H83:P83,"☐ Non implémenté")+COUNTIF(H83:P83,"☐ Non")),"")</x:f>
      </x:c>
      <x:c r="R83" s="82"/>
      <x:c r="S83" s="82"/>
      <x:c r="T83" s="82"/>
      <x:c r="U83" s="82"/>
      <x:c r="V83" s="84" t="str">
        <x:f>IFERROR((COUNTIF(R83:U83,"☑ Implémenté")+COUNTIF(R83:U83,"☑ Oui")+0.5*COUNTIF(R83:U83,"◐ Partiel"))/(COUNTIF(R83:U83,"☑ Implémenté")+COUNTIF(R83:U83,"☑ Oui")+COUNTIF(R83:U83,"◐ Partiel")+COUNTIF(R83:U83,"☐ Non implémenté")+COUNTIF(R83:U83,"☐ Non")),"")</x:f>
      </x:c>
      <x:c r="W83" s="82"/>
      <x:c r="X83" s="82"/>
      <x:c r="Y83" s="84" t="str">
        <x:f>IFERROR((COUNTIF(W83:X83,"☑ Implémenté")+COUNTIF(W83:X83,"☑ Oui")+0.5*COUNTIF(W83:X83,"◐ Partiel"))/(COUNTIF(W83:X83,"☑ Implémenté")+COUNTIF(W83:X83,"☑ Oui")+COUNTIF(W83:X83,"◐ Partiel")+COUNTIF(W83:X83,"☐ Non implémenté")+COUNTIF(W83:X83,"☐ Non")),"")</x:f>
      </x:c>
      <x:c r="Z83" s="82"/>
      <x:c r="AA83" s="82"/>
      <x:c r="AB83" s="82"/>
      <x:c r="AC83" s="82"/>
      <x:c r="AD83" s="82"/>
      <x:c r="AE83" s="82"/>
      <x:c r="AF83" s="82"/>
      <x:c r="AG83" s="84"/>
      <x:c r="AH83" s="82"/>
      <x:c r="AI83" s="82"/>
      <x:c r="AJ83" s="82"/>
      <x:c r="AK83" s="82"/>
      <x:c r="AL83" s="82"/>
      <x:c r="AM83" s="82"/>
      <x:c r="AN83" s="82"/>
      <x:c r="AO83" s="82"/>
      <x:c r="AP83" s="82"/>
      <x:c r="AQ83" s="82"/>
      <x:c r="AR83" s="82"/>
      <x:c r="AS83" s="82"/>
      <x:c r="AT83" s="82"/>
      <x:c r="AU83" s="82"/>
      <x:c r="AV83" s="82"/>
      <x:c r="AW83" s="82"/>
      <x:c r="AX83" s="82"/>
      <x:c r="AY83" s="82"/>
      <x:c r="AZ83" s="82"/>
      <x:c r="BA83" s="82"/>
      <x:c r="BB83" s="82"/>
      <x:c r="BC83" s="82"/>
      <x:c r="BD83" s="84" t="str">
        <x:f>IFERROR((COUNTIF(AZ83:BC83,"☑ Implémenté")+COUNTIF(AZ83:BC83,"☑ Oui")+0.5*COUNTIF(AZ83:BC83,"◐ Partiel"))/(COUNTIF(AZ83:BC83,"☑ Implémenté")+COUNTIF(AZ83:BC83,"☑ Oui")+COUNTIF(AZ83:BC83,"◐ Partiel")+COUNTIF(AZ83:BC83,"☐ Non implémenté")+COUNTIF(AZ83:BC83,"☐ Non")),"")</x:f>
      </x:c>
      <x:c r="BE83" s="84" t="str">
        <x:f>IFERROR((COUNTIF(H83:BD83,"☑ Implémenté")+COUNTIF(H83:BD83,"☑ Oui")+COUNTIF(H83:BD83,"DevOpsFundation")+0.5*COUNTIF(H83:BD83,"◐ Partiel"))/(COUNTIF(H83:BD83,"☑ Implémenté")+COUNTIF(H83:BD83,"☑ Oui")+COUNTIF(H83:BD83,"DevOpsFundation")+COUNTIF(H83:BD83,"◐ Partiel")+COUNTIF(H83:BD83,"☐ Non implémenté")+COUNTIF(H83:BD83,"☐ Non")),"")</x:f>
      </x:c>
      <x:c r="BF83" s="82" t="str">
        <x:f>IF(B83="","",COUNTIF(H83:BD83,"☐ Non implémenté")+COUNTIF(H83:BD83,"☐ Non")+COUNTIF(H83:BD83,"◐ Partiel"))</x:f>
      </x:c>
      <x:c r="BG83" s="82"/>
    </x:row>
    <x:row r="84">
      <x:c r="A84" s="82"/>
      <x:c r="B84" s="82"/>
      <x:c r="C84" s="82"/>
      <x:c r="D84" s="82"/>
      <x:c r="E84" s="82"/>
      <x:c r="F84" s="82"/>
      <x:c r="G84" s="82"/>
      <x:c r="H84" s="82"/>
      <x:c r="I84" s="82"/>
      <x:c r="J84" s="82"/>
      <x:c r="K84" s="82"/>
      <x:c r="L84" s="82"/>
      <x:c r="M84" s="82"/>
      <x:c r="N84" s="82"/>
      <x:c r="O84" s="82"/>
      <x:c r="P84" s="82"/>
      <x:c r="Q84" s="84" t="str">
        <x:f>IFERROR((COUNTIF(H84:P84,"☑ Implémenté")+COUNTIF(H84:P84,"☑ Oui")+0.5*COUNTIF(H84:P84,"◐ Partiel"))/(COUNTIF(H84:P84,"☑ Implémenté")+COUNTIF(H84:P84,"☑ Oui")+COUNTIF(H84:P84,"◐ Partiel")+COUNTIF(H84:P84,"☐ Non implémenté")+COUNTIF(H84:P84,"☐ Non")),"")</x:f>
      </x:c>
      <x:c r="R84" s="82"/>
      <x:c r="S84" s="82"/>
      <x:c r="T84" s="82"/>
      <x:c r="U84" s="82"/>
      <x:c r="V84" s="84" t="str">
        <x:f>IFERROR((COUNTIF(R84:U84,"☑ Implémenté")+COUNTIF(R84:U84,"☑ Oui")+0.5*COUNTIF(R84:U84,"◐ Partiel"))/(COUNTIF(R84:U84,"☑ Implémenté")+COUNTIF(R84:U84,"☑ Oui")+COUNTIF(R84:U84,"◐ Partiel")+COUNTIF(R84:U84,"☐ Non implémenté")+COUNTIF(R84:U84,"☐ Non")),"")</x:f>
      </x:c>
      <x:c r="W84" s="82"/>
      <x:c r="X84" s="82"/>
      <x:c r="Y84" s="84" t="str">
        <x:f>IFERROR((COUNTIF(W84:X84,"☑ Implémenté")+COUNTIF(W84:X84,"☑ Oui")+0.5*COUNTIF(W84:X84,"◐ Partiel"))/(COUNTIF(W84:X84,"☑ Implémenté")+COUNTIF(W84:X84,"☑ Oui")+COUNTIF(W84:X84,"◐ Partiel")+COUNTIF(W84:X84,"☐ Non implémenté")+COUNTIF(W84:X84,"☐ Non")),"")</x:f>
      </x:c>
      <x:c r="Z84" s="82"/>
      <x:c r="AA84" s="82"/>
      <x:c r="AB84" s="82"/>
      <x:c r="AC84" s="82"/>
      <x:c r="AD84" s="82"/>
      <x:c r="AE84" s="82"/>
      <x:c r="AF84" s="82"/>
      <x:c r="AG84" s="84"/>
      <x:c r="AH84" s="82"/>
      <x:c r="AI84" s="82"/>
      <x:c r="AJ84" s="82"/>
      <x:c r="AK84" s="82"/>
      <x:c r="AL84" s="82"/>
      <x:c r="AM84" s="82"/>
      <x:c r="AN84" s="82"/>
      <x:c r="AO84" s="82"/>
      <x:c r="AP84" s="82"/>
      <x:c r="AQ84" s="82"/>
      <x:c r="AR84" s="82"/>
      <x:c r="AS84" s="82"/>
      <x:c r="AT84" s="82"/>
      <x:c r="AU84" s="82"/>
      <x:c r="AV84" s="82"/>
      <x:c r="AW84" s="82"/>
      <x:c r="AX84" s="82"/>
      <x:c r="AY84" s="82"/>
      <x:c r="AZ84" s="82"/>
      <x:c r="BA84" s="82"/>
      <x:c r="BB84" s="82"/>
      <x:c r="BC84" s="82"/>
      <x:c r="BD84" s="84" t="str">
        <x:f>IFERROR((COUNTIF(AZ84:BC84,"☑ Implémenté")+COUNTIF(AZ84:BC84,"☑ Oui")+0.5*COUNTIF(AZ84:BC84,"◐ Partiel"))/(COUNTIF(AZ84:BC84,"☑ Implémenté")+COUNTIF(AZ84:BC84,"☑ Oui")+COUNTIF(AZ84:BC84,"◐ Partiel")+COUNTIF(AZ84:BC84,"☐ Non implémenté")+COUNTIF(AZ84:BC84,"☐ Non")),"")</x:f>
      </x:c>
      <x:c r="BE84" s="84" t="str">
        <x:f>IFERROR((COUNTIF(H84:BD84,"☑ Implémenté")+COUNTIF(H84:BD84,"☑ Oui")+COUNTIF(H84:BD84,"DevOpsFundation")+0.5*COUNTIF(H84:BD84,"◐ Partiel"))/(COUNTIF(H84:BD84,"☑ Implémenté")+COUNTIF(H84:BD84,"☑ Oui")+COUNTIF(H84:BD84,"DevOpsFundation")+COUNTIF(H84:BD84,"◐ Partiel")+COUNTIF(H84:BD84,"☐ Non implémenté")+COUNTIF(H84:BD84,"☐ Non")),"")</x:f>
      </x:c>
      <x:c r="BF84" s="82" t="str">
        <x:f>IF(B84="","",COUNTIF(H84:BD84,"☐ Non implémenté")+COUNTIF(H84:BD84,"☐ Non")+COUNTIF(H84:BD84,"◐ Partiel"))</x:f>
      </x:c>
      <x:c r="BG84" s="82"/>
    </x:row>
    <x:row r="85">
      <x:c r="A85" s="82"/>
      <x:c r="B85" s="82"/>
      <x:c r="C85" s="82"/>
      <x:c r="D85" s="82"/>
      <x:c r="E85" s="82"/>
      <x:c r="F85" s="82"/>
      <x:c r="G85" s="82"/>
      <x:c r="H85" s="82"/>
      <x:c r="I85" s="82"/>
      <x:c r="J85" s="82"/>
      <x:c r="K85" s="82"/>
      <x:c r="L85" s="82"/>
      <x:c r="M85" s="82"/>
      <x:c r="N85" s="82"/>
      <x:c r="O85" s="82"/>
      <x:c r="P85" s="82"/>
      <x:c r="Q85" s="84" t="str">
        <x:f>IFERROR((COUNTIF(H85:P85,"☑ Implémenté")+COUNTIF(H85:P85,"☑ Oui")+0.5*COUNTIF(H85:P85,"◐ Partiel"))/(COUNTIF(H85:P85,"☑ Implémenté")+COUNTIF(H85:P85,"☑ Oui")+COUNTIF(H85:P85,"◐ Partiel")+COUNTIF(H85:P85,"☐ Non implémenté")+COUNTIF(H85:P85,"☐ Non")),"")</x:f>
      </x:c>
      <x:c r="R85" s="82"/>
      <x:c r="S85" s="82"/>
      <x:c r="T85" s="82"/>
      <x:c r="U85" s="82"/>
      <x:c r="V85" s="84" t="str">
        <x:f>IFERROR((COUNTIF(R85:U85,"☑ Implémenté")+COUNTIF(R85:U85,"☑ Oui")+0.5*COUNTIF(R85:U85,"◐ Partiel"))/(COUNTIF(R85:U85,"☑ Implémenté")+COUNTIF(R85:U85,"☑ Oui")+COUNTIF(R85:U85,"◐ Partiel")+COUNTIF(R85:U85,"☐ Non implémenté")+COUNTIF(R85:U85,"☐ Non")),"")</x:f>
      </x:c>
      <x:c r="W85" s="82"/>
      <x:c r="X85" s="82"/>
      <x:c r="Y85" s="84" t="str">
        <x:f>IFERROR((COUNTIF(W85:X85,"☑ Implémenté")+COUNTIF(W85:X85,"☑ Oui")+0.5*COUNTIF(W85:X85,"◐ Partiel"))/(COUNTIF(W85:X85,"☑ Implémenté")+COUNTIF(W85:X85,"☑ Oui")+COUNTIF(W85:X85,"◐ Partiel")+COUNTIF(W85:X85,"☐ Non implémenté")+COUNTIF(W85:X85,"☐ Non")),"")</x:f>
      </x:c>
      <x:c r="Z85" s="82"/>
      <x:c r="AA85" s="82"/>
      <x:c r="AB85" s="82"/>
      <x:c r="AC85" s="82"/>
      <x:c r="AD85" s="82"/>
      <x:c r="AE85" s="82"/>
      <x:c r="AF85" s="82"/>
      <x:c r="AG85" s="84"/>
      <x:c r="AH85" s="82"/>
      <x:c r="AI85" s="82"/>
      <x:c r="AJ85" s="82"/>
      <x:c r="AK85" s="82"/>
      <x:c r="AL85" s="82"/>
      <x:c r="AM85" s="82"/>
      <x:c r="AN85" s="82"/>
      <x:c r="AO85" s="82"/>
      <x:c r="AP85" s="82"/>
      <x:c r="AQ85" s="82"/>
      <x:c r="AR85" s="82"/>
      <x:c r="AS85" s="82"/>
      <x:c r="AT85" s="82"/>
      <x:c r="AU85" s="82"/>
      <x:c r="AV85" s="82"/>
      <x:c r="AW85" s="82"/>
      <x:c r="AX85" s="82"/>
      <x:c r="AY85" s="82"/>
      <x:c r="AZ85" s="82"/>
      <x:c r="BA85" s="82"/>
      <x:c r="BB85" s="82"/>
      <x:c r="BC85" s="82"/>
      <x:c r="BD85" s="84" t="str">
        <x:f>IFERROR((COUNTIF(AZ85:BC85,"☑ Implémenté")+COUNTIF(AZ85:BC85,"☑ Oui")+0.5*COUNTIF(AZ85:BC85,"◐ Partiel"))/(COUNTIF(AZ85:BC85,"☑ Implémenté")+COUNTIF(AZ85:BC85,"☑ Oui")+COUNTIF(AZ85:BC85,"◐ Partiel")+COUNTIF(AZ85:BC85,"☐ Non implémenté")+COUNTIF(AZ85:BC85,"☐ Non")),"")</x:f>
      </x:c>
      <x:c r="BE85" s="84" t="str">
        <x:f>IFERROR((COUNTIF(H85:BD85,"☑ Implémenté")+COUNTIF(H85:BD85,"☑ Oui")+COUNTIF(H85:BD85,"DevOpsFundation")+0.5*COUNTIF(H85:BD85,"◐ Partiel"))/(COUNTIF(H85:BD85,"☑ Implémenté")+COUNTIF(H85:BD85,"☑ Oui")+COUNTIF(H85:BD85,"DevOpsFundation")+COUNTIF(H85:BD85,"◐ Partiel")+COUNTIF(H85:BD85,"☐ Non implémenté")+COUNTIF(H85:BD85,"☐ Non")),"")</x:f>
      </x:c>
      <x:c r="BF85" s="82" t="str">
        <x:f>IF(B85="","",COUNTIF(H85:BD85,"☐ Non implémenté")+COUNTIF(H85:BD85,"☐ Non")+COUNTIF(H85:BD85,"◐ Partiel"))</x:f>
      </x:c>
      <x:c r="BG85" s="82"/>
    </x:row>
    <x:row r="86">
      <x:c r="A86" s="82"/>
      <x:c r="B86" s="82"/>
      <x:c r="C86" s="82"/>
      <x:c r="D86" s="82"/>
      <x:c r="E86" s="82"/>
      <x:c r="F86" s="82"/>
      <x:c r="G86" s="82"/>
      <x:c r="H86" s="82"/>
      <x:c r="I86" s="82"/>
      <x:c r="J86" s="82"/>
      <x:c r="K86" s="82"/>
      <x:c r="L86" s="82"/>
      <x:c r="M86" s="82"/>
      <x:c r="N86" s="82"/>
      <x:c r="O86" s="82"/>
      <x:c r="P86" s="82"/>
      <x:c r="Q86" s="84" t="str">
        <x:f>IFERROR((COUNTIF(H86:P86,"☑ Implémenté")+COUNTIF(H86:P86,"☑ Oui")+0.5*COUNTIF(H86:P86,"◐ Partiel"))/(COUNTIF(H86:P86,"☑ Implémenté")+COUNTIF(H86:P86,"☑ Oui")+COUNTIF(H86:P86,"◐ Partiel")+COUNTIF(H86:P86,"☐ Non implémenté")+COUNTIF(H86:P86,"☐ Non")),"")</x:f>
      </x:c>
      <x:c r="R86" s="82"/>
      <x:c r="S86" s="82"/>
      <x:c r="T86" s="82"/>
      <x:c r="U86" s="82"/>
      <x:c r="V86" s="84" t="str">
        <x:f>IFERROR((COUNTIF(R86:U86,"☑ Implémenté")+COUNTIF(R86:U86,"☑ Oui")+0.5*COUNTIF(R86:U86,"◐ Partiel"))/(COUNTIF(R86:U86,"☑ Implémenté")+COUNTIF(R86:U86,"☑ Oui")+COUNTIF(R86:U86,"◐ Partiel")+COUNTIF(R86:U86,"☐ Non implémenté")+COUNTIF(R86:U86,"☐ Non")),"")</x:f>
      </x:c>
      <x:c r="W86" s="82"/>
      <x:c r="X86" s="82"/>
      <x:c r="Y86" s="84" t="str">
        <x:f>IFERROR((COUNTIF(W86:X86,"☑ Implémenté")+COUNTIF(W86:X86,"☑ Oui")+0.5*COUNTIF(W86:X86,"◐ Partiel"))/(COUNTIF(W86:X86,"☑ Implémenté")+COUNTIF(W86:X86,"☑ Oui")+COUNTIF(W86:X86,"◐ Partiel")+COUNTIF(W86:X86,"☐ Non implémenté")+COUNTIF(W86:X86,"☐ Non")),"")</x:f>
      </x:c>
      <x:c r="Z86" s="82"/>
      <x:c r="AA86" s="82"/>
      <x:c r="AB86" s="82"/>
      <x:c r="AC86" s="82"/>
      <x:c r="AD86" s="82"/>
      <x:c r="AE86" s="82"/>
      <x:c r="AF86" s="82"/>
      <x:c r="AG86" s="84"/>
      <x:c r="AH86" s="82"/>
      <x:c r="AI86" s="82"/>
      <x:c r="AJ86" s="82"/>
      <x:c r="AK86" s="82"/>
      <x:c r="AL86" s="82"/>
      <x:c r="AM86" s="82"/>
      <x:c r="AN86" s="82"/>
      <x:c r="AO86" s="82"/>
      <x:c r="AP86" s="82"/>
      <x:c r="AQ86" s="82"/>
      <x:c r="AR86" s="82"/>
      <x:c r="AS86" s="82"/>
      <x:c r="AT86" s="82"/>
      <x:c r="AU86" s="82"/>
      <x:c r="AV86" s="82"/>
      <x:c r="AW86" s="82"/>
      <x:c r="AX86" s="82"/>
      <x:c r="AY86" s="82"/>
      <x:c r="AZ86" s="82"/>
      <x:c r="BA86" s="82"/>
      <x:c r="BB86" s="82"/>
      <x:c r="BC86" s="82"/>
      <x:c r="BD86" s="84" t="str">
        <x:f>IFERROR((COUNTIF(AZ86:BC86,"☑ Implémenté")+COUNTIF(AZ86:BC86,"☑ Oui")+0.5*COUNTIF(AZ86:BC86,"◐ Partiel"))/(COUNTIF(AZ86:BC86,"☑ Implémenté")+COUNTIF(AZ86:BC86,"☑ Oui")+COUNTIF(AZ86:BC86,"◐ Partiel")+COUNTIF(AZ86:BC86,"☐ Non implémenté")+COUNTIF(AZ86:BC86,"☐ Non")),"")</x:f>
      </x:c>
      <x:c r="BE86" s="84" t="str">
        <x:f>IFERROR((COUNTIF(H86:BD86,"☑ Implémenté")+COUNTIF(H86:BD86,"☑ Oui")+COUNTIF(H86:BD86,"DevOpsFundation")+0.5*COUNTIF(H86:BD86,"◐ Partiel"))/(COUNTIF(H86:BD86,"☑ Implémenté")+COUNTIF(H86:BD86,"☑ Oui")+COUNTIF(H86:BD86,"DevOpsFundation")+COUNTIF(H86:BD86,"◐ Partiel")+COUNTIF(H86:BD86,"☐ Non implémenté")+COUNTIF(H86:BD86,"☐ Non")),"")</x:f>
      </x:c>
      <x:c r="BF86" s="82" t="str">
        <x:f>IF(B86="","",COUNTIF(H86:BD86,"☐ Non implémenté")+COUNTIF(H86:BD86,"☐ Non")+COUNTIF(H86:BD86,"◐ Partiel"))</x:f>
      </x:c>
      <x:c r="BG86" s="82"/>
    </x:row>
    <x:row r="87">
      <x:c r="A87" s="82"/>
      <x:c r="B87" s="82"/>
      <x:c r="C87" s="82"/>
      <x:c r="D87" s="82"/>
      <x:c r="E87" s="82"/>
      <x:c r="F87" s="82"/>
      <x:c r="G87" s="82"/>
      <x:c r="H87" s="82"/>
      <x:c r="I87" s="82"/>
      <x:c r="J87" s="82"/>
      <x:c r="K87" s="82"/>
      <x:c r="L87" s="82"/>
      <x:c r="M87" s="82"/>
      <x:c r="N87" s="82"/>
      <x:c r="O87" s="82"/>
      <x:c r="P87" s="82"/>
      <x:c r="Q87" s="84" t="str">
        <x:f>IFERROR((COUNTIF(H87:P87,"☑ Implémenté")+COUNTIF(H87:P87,"☑ Oui")+0.5*COUNTIF(H87:P87,"◐ Partiel"))/(COUNTIF(H87:P87,"☑ Implémenté")+COUNTIF(H87:P87,"☑ Oui")+COUNTIF(H87:P87,"◐ Partiel")+COUNTIF(H87:P87,"☐ Non implémenté")+COUNTIF(H87:P87,"☐ Non")),"")</x:f>
      </x:c>
      <x:c r="R87" s="82"/>
      <x:c r="S87" s="82"/>
      <x:c r="T87" s="82"/>
      <x:c r="U87" s="82"/>
      <x:c r="V87" s="84" t="str">
        <x:f>IFERROR((COUNTIF(R87:U87,"☑ Implémenté")+COUNTIF(R87:U87,"☑ Oui")+0.5*COUNTIF(R87:U87,"◐ Partiel"))/(COUNTIF(R87:U87,"☑ Implémenté")+COUNTIF(R87:U87,"☑ Oui")+COUNTIF(R87:U87,"◐ Partiel")+COUNTIF(R87:U87,"☐ Non implémenté")+COUNTIF(R87:U87,"☐ Non")),"")</x:f>
      </x:c>
      <x:c r="W87" s="82"/>
      <x:c r="X87" s="82"/>
      <x:c r="Y87" s="84" t="str">
        <x:f>IFERROR((COUNTIF(W87:X87,"☑ Implémenté")+COUNTIF(W87:X87,"☑ Oui")+0.5*COUNTIF(W87:X87,"◐ Partiel"))/(COUNTIF(W87:X87,"☑ Implémenté")+COUNTIF(W87:X87,"☑ Oui")+COUNTIF(W87:X87,"◐ Partiel")+COUNTIF(W87:X87,"☐ Non implémenté")+COUNTIF(W87:X87,"☐ Non")),"")</x:f>
      </x:c>
      <x:c r="Z87" s="82"/>
      <x:c r="AA87" s="82"/>
      <x:c r="AB87" s="82"/>
      <x:c r="AC87" s="82"/>
      <x:c r="AD87" s="82"/>
      <x:c r="AE87" s="82"/>
      <x:c r="AF87" s="82"/>
      <x:c r="AG87" s="84"/>
      <x:c r="AH87" s="82"/>
      <x:c r="AI87" s="82"/>
      <x:c r="AJ87" s="82"/>
      <x:c r="AK87" s="82"/>
      <x:c r="AL87" s="82"/>
      <x:c r="AM87" s="82"/>
      <x:c r="AN87" s="82"/>
      <x:c r="AO87" s="82"/>
      <x:c r="AP87" s="82"/>
      <x:c r="AQ87" s="82"/>
      <x:c r="AR87" s="82"/>
      <x:c r="AS87" s="82"/>
      <x:c r="AT87" s="82"/>
      <x:c r="AU87" s="82"/>
      <x:c r="AV87" s="82"/>
      <x:c r="AW87" s="82"/>
      <x:c r="AX87" s="82"/>
      <x:c r="AY87" s="82"/>
      <x:c r="AZ87" s="82"/>
      <x:c r="BA87" s="82"/>
      <x:c r="BB87" s="82"/>
      <x:c r="BC87" s="82"/>
      <x:c r="BD87" s="84" t="str">
        <x:f>IFERROR((COUNTIF(AZ87:BC87,"☑ Implémenté")+COUNTIF(AZ87:BC87,"☑ Oui")+0.5*COUNTIF(AZ87:BC87,"◐ Partiel"))/(COUNTIF(AZ87:BC87,"☑ Implémenté")+COUNTIF(AZ87:BC87,"☑ Oui")+COUNTIF(AZ87:BC87,"◐ Partiel")+COUNTIF(AZ87:BC87,"☐ Non implémenté")+COUNTIF(AZ87:BC87,"☐ Non")),"")</x:f>
      </x:c>
      <x:c r="BE87" s="84" t="str">
        <x:f>IFERROR((COUNTIF(H87:BD87,"☑ Implémenté")+COUNTIF(H87:BD87,"☑ Oui")+COUNTIF(H87:BD87,"DevOpsFundation")+0.5*COUNTIF(H87:BD87,"◐ Partiel"))/(COUNTIF(H87:BD87,"☑ Implémenté")+COUNTIF(H87:BD87,"☑ Oui")+COUNTIF(H87:BD87,"DevOpsFundation")+COUNTIF(H87:BD87,"◐ Partiel")+COUNTIF(H87:BD87,"☐ Non implémenté")+COUNTIF(H87:BD87,"☐ Non")),"")</x:f>
      </x:c>
      <x:c r="BF87" s="82" t="str">
        <x:f>IF(B87="","",COUNTIF(H87:BD87,"☐ Non implémenté")+COUNTIF(H87:BD87,"☐ Non")+COUNTIF(H87:BD87,"◐ Partiel"))</x:f>
      </x:c>
      <x:c r="BG87" s="82"/>
    </x:row>
    <x:row r="88">
      <x:c r="A88" s="82"/>
      <x:c r="B88" s="82"/>
      <x:c r="C88" s="82"/>
      <x:c r="D88" s="82"/>
      <x:c r="E88" s="82"/>
      <x:c r="F88" s="82"/>
      <x:c r="G88" s="82"/>
      <x:c r="H88" s="82"/>
      <x:c r="I88" s="82"/>
      <x:c r="J88" s="82"/>
      <x:c r="K88" s="82"/>
      <x:c r="L88" s="82"/>
      <x:c r="M88" s="82"/>
      <x:c r="N88" s="82"/>
      <x:c r="O88" s="82"/>
      <x:c r="P88" s="82"/>
      <x:c r="Q88" s="84" t="str">
        <x:f>IFERROR((COUNTIF(H88:P88,"☑ Implémenté")+COUNTIF(H88:P88,"☑ Oui")+0.5*COUNTIF(H88:P88,"◐ Partiel"))/(COUNTIF(H88:P88,"☑ Implémenté")+COUNTIF(H88:P88,"☑ Oui")+COUNTIF(H88:P88,"◐ Partiel")+COUNTIF(H88:P88,"☐ Non implémenté")+COUNTIF(H88:P88,"☐ Non")),"")</x:f>
      </x:c>
      <x:c r="R88" s="82"/>
      <x:c r="S88" s="82"/>
      <x:c r="T88" s="82"/>
      <x:c r="U88" s="82"/>
      <x:c r="V88" s="84" t="str">
        <x:f>IFERROR((COUNTIF(R88:U88,"☑ Implémenté")+COUNTIF(R88:U88,"☑ Oui")+0.5*COUNTIF(R88:U88,"◐ Partiel"))/(COUNTIF(R88:U88,"☑ Implémenté")+COUNTIF(R88:U88,"☑ Oui")+COUNTIF(R88:U88,"◐ Partiel")+COUNTIF(R88:U88,"☐ Non implémenté")+COUNTIF(R88:U88,"☐ Non")),"")</x:f>
      </x:c>
      <x:c r="W88" s="82"/>
      <x:c r="X88" s="82"/>
      <x:c r="Y88" s="84" t="str">
        <x:f>IFERROR((COUNTIF(W88:X88,"☑ Implémenté")+COUNTIF(W88:X88,"☑ Oui")+0.5*COUNTIF(W88:X88,"◐ Partiel"))/(COUNTIF(W88:X88,"☑ Implémenté")+COUNTIF(W88:X88,"☑ Oui")+COUNTIF(W88:X88,"◐ Partiel")+COUNTIF(W88:X88,"☐ Non implémenté")+COUNTIF(W88:X88,"☐ Non")),"")</x:f>
      </x:c>
      <x:c r="Z88" s="82"/>
      <x:c r="AA88" s="82"/>
      <x:c r="AB88" s="82"/>
      <x:c r="AC88" s="82"/>
      <x:c r="AD88" s="82"/>
      <x:c r="AE88" s="82"/>
      <x:c r="AF88" s="82"/>
      <x:c r="AG88" s="84"/>
      <x:c r="AH88" s="82"/>
      <x:c r="AI88" s="82"/>
      <x:c r="AJ88" s="82"/>
      <x:c r="AK88" s="82"/>
      <x:c r="AL88" s="82"/>
      <x:c r="AM88" s="82"/>
      <x:c r="AN88" s="82"/>
      <x:c r="AO88" s="82"/>
      <x:c r="AP88" s="82"/>
      <x:c r="AQ88" s="82"/>
      <x:c r="AR88" s="82"/>
      <x:c r="AS88" s="82"/>
      <x:c r="AT88" s="82"/>
      <x:c r="AU88" s="82"/>
      <x:c r="AV88" s="82"/>
      <x:c r="AW88" s="82"/>
      <x:c r="AX88" s="82"/>
      <x:c r="AY88" s="82"/>
      <x:c r="AZ88" s="82"/>
      <x:c r="BA88" s="82"/>
      <x:c r="BB88" s="82"/>
      <x:c r="BC88" s="82"/>
      <x:c r="BD88" s="84" t="str">
        <x:f>IFERROR((COUNTIF(AZ88:BC88,"☑ Implémenté")+COUNTIF(AZ88:BC88,"☑ Oui")+0.5*COUNTIF(AZ88:BC88,"◐ Partiel"))/(COUNTIF(AZ88:BC88,"☑ Implémenté")+COUNTIF(AZ88:BC88,"☑ Oui")+COUNTIF(AZ88:BC88,"◐ Partiel")+COUNTIF(AZ88:BC88,"☐ Non implémenté")+COUNTIF(AZ88:BC88,"☐ Non")),"")</x:f>
      </x:c>
      <x:c r="BE88" s="84" t="str">
        <x:f>IFERROR((COUNTIF(H88:BD88,"☑ Implémenté")+COUNTIF(H88:BD88,"☑ Oui")+COUNTIF(H88:BD88,"DevOpsFundation")+0.5*COUNTIF(H88:BD88,"◐ Partiel"))/(COUNTIF(H88:BD88,"☑ Implémenté")+COUNTIF(H88:BD88,"☑ Oui")+COUNTIF(H88:BD88,"DevOpsFundation")+COUNTIF(H88:BD88,"◐ Partiel")+COUNTIF(H88:BD88,"☐ Non implémenté")+COUNTIF(H88:BD88,"☐ Non")),"")</x:f>
      </x:c>
      <x:c r="BF88" s="82" t="str">
        <x:f>IF(B88="","",COUNTIF(H88:BD88,"☐ Non implémenté")+COUNTIF(H88:BD88,"☐ Non")+COUNTIF(H88:BD88,"◐ Partiel"))</x:f>
      </x:c>
      <x:c r="BG88" s="82"/>
    </x:row>
    <x:row r="89">
      <x:c r="A89" s="82"/>
      <x:c r="B89" s="82"/>
      <x:c r="C89" s="82"/>
      <x:c r="D89" s="82"/>
      <x:c r="E89" s="82"/>
      <x:c r="F89" s="82"/>
      <x:c r="G89" s="82"/>
      <x:c r="H89" s="82"/>
      <x:c r="I89" s="82"/>
      <x:c r="J89" s="82"/>
      <x:c r="K89" s="82"/>
      <x:c r="L89" s="82"/>
      <x:c r="M89" s="82"/>
      <x:c r="N89" s="82"/>
      <x:c r="O89" s="82"/>
      <x:c r="P89" s="82"/>
      <x:c r="Q89" s="84" t="str">
        <x:f>IFERROR((COUNTIF(H89:P89,"☑ Implémenté")+COUNTIF(H89:P89,"☑ Oui")+0.5*COUNTIF(H89:P89,"◐ Partiel"))/(COUNTIF(H89:P89,"☑ Implémenté")+COUNTIF(H89:P89,"☑ Oui")+COUNTIF(H89:P89,"◐ Partiel")+COUNTIF(H89:P89,"☐ Non implémenté")+COUNTIF(H89:P89,"☐ Non")),"")</x:f>
      </x:c>
      <x:c r="R89" s="82"/>
      <x:c r="S89" s="82"/>
      <x:c r="T89" s="82"/>
      <x:c r="U89" s="82"/>
      <x:c r="V89" s="84" t="str">
        <x:f>IFERROR((COUNTIF(R89:U89,"☑ Implémenté")+COUNTIF(R89:U89,"☑ Oui")+0.5*COUNTIF(R89:U89,"◐ Partiel"))/(COUNTIF(R89:U89,"☑ Implémenté")+COUNTIF(R89:U89,"☑ Oui")+COUNTIF(R89:U89,"◐ Partiel")+COUNTIF(R89:U89,"☐ Non implémenté")+COUNTIF(R89:U89,"☐ Non")),"")</x:f>
      </x:c>
      <x:c r="W89" s="82"/>
      <x:c r="X89" s="82"/>
      <x:c r="Y89" s="84" t="str">
        <x:f>IFERROR((COUNTIF(W89:X89,"☑ Implémenté")+COUNTIF(W89:X89,"☑ Oui")+0.5*COUNTIF(W89:X89,"◐ Partiel"))/(COUNTIF(W89:X89,"☑ Implémenté")+COUNTIF(W89:X89,"☑ Oui")+COUNTIF(W89:X89,"◐ Partiel")+COUNTIF(W89:X89,"☐ Non implémenté")+COUNTIF(W89:X89,"☐ Non")),"")</x:f>
      </x:c>
      <x:c r="Z89" s="82"/>
      <x:c r="AA89" s="82"/>
      <x:c r="AB89" s="82"/>
      <x:c r="AC89" s="82"/>
      <x:c r="AD89" s="82"/>
      <x:c r="AE89" s="82"/>
      <x:c r="AF89" s="82"/>
      <x:c r="AG89" s="84"/>
      <x:c r="AH89" s="82"/>
      <x:c r="AI89" s="82"/>
      <x:c r="AJ89" s="82"/>
      <x:c r="AK89" s="82"/>
      <x:c r="AL89" s="82"/>
      <x:c r="AM89" s="82"/>
      <x:c r="AN89" s="82"/>
      <x:c r="AO89" s="82"/>
      <x:c r="AP89" s="82"/>
      <x:c r="AQ89" s="82"/>
      <x:c r="AR89" s="82"/>
      <x:c r="AS89" s="82"/>
      <x:c r="AT89" s="82"/>
      <x:c r="AU89" s="82"/>
      <x:c r="AV89" s="82"/>
      <x:c r="AW89" s="82"/>
      <x:c r="AX89" s="82"/>
      <x:c r="AY89" s="82"/>
      <x:c r="AZ89" s="82"/>
      <x:c r="BA89" s="82"/>
      <x:c r="BB89" s="82"/>
      <x:c r="BC89" s="82"/>
      <x:c r="BD89" s="84" t="str">
        <x:f>IFERROR((COUNTIF(AZ89:BC89,"☑ Implémenté")+COUNTIF(AZ89:BC89,"☑ Oui")+0.5*COUNTIF(AZ89:BC89,"◐ Partiel"))/(COUNTIF(AZ89:BC89,"☑ Implémenté")+COUNTIF(AZ89:BC89,"☑ Oui")+COUNTIF(AZ89:BC89,"◐ Partiel")+COUNTIF(AZ89:BC89,"☐ Non implémenté")+COUNTIF(AZ89:BC89,"☐ Non")),"")</x:f>
      </x:c>
      <x:c r="BE89" s="84" t="str">
        <x:f>IFERROR((COUNTIF(H89:BD89,"☑ Implémenté")+COUNTIF(H89:BD89,"☑ Oui")+COUNTIF(H89:BD89,"DevOpsFundation")+0.5*COUNTIF(H89:BD89,"◐ Partiel"))/(COUNTIF(H89:BD89,"☑ Implémenté")+COUNTIF(H89:BD89,"☑ Oui")+COUNTIF(H89:BD89,"DevOpsFundation")+COUNTIF(H89:BD89,"◐ Partiel")+COUNTIF(H89:BD89,"☐ Non implémenté")+COUNTIF(H89:BD89,"☐ Non")),"")</x:f>
      </x:c>
      <x:c r="BF89" s="82" t="str">
        <x:f>IF(B89="","",COUNTIF(H89:BD89,"☐ Non implémenté")+COUNTIF(H89:BD89,"☐ Non")+COUNTIF(H89:BD89,"◐ Partiel"))</x:f>
      </x:c>
      <x:c r="BG89" s="82"/>
    </x:row>
    <x:row r="90">
      <x:c r="A90" s="82"/>
      <x:c r="B90" s="82"/>
      <x:c r="C90" s="82"/>
      <x:c r="D90" s="82"/>
      <x:c r="E90" s="82"/>
      <x:c r="F90" s="82"/>
      <x:c r="G90" s="82"/>
      <x:c r="H90" s="82"/>
      <x:c r="I90" s="82"/>
      <x:c r="J90" s="82"/>
      <x:c r="K90" s="82"/>
      <x:c r="L90" s="82"/>
      <x:c r="M90" s="82"/>
      <x:c r="N90" s="82"/>
      <x:c r="O90" s="82"/>
      <x:c r="P90" s="82"/>
      <x:c r="Q90" s="84" t="str">
        <x:f>IFERROR((COUNTIF(H90:P90,"☑ Implémenté")+COUNTIF(H90:P90,"☑ Oui")+0.5*COUNTIF(H90:P90,"◐ Partiel"))/(COUNTIF(H90:P90,"☑ Implémenté")+COUNTIF(H90:P90,"☑ Oui")+COUNTIF(H90:P90,"◐ Partiel")+COUNTIF(H90:P90,"☐ Non implémenté")+COUNTIF(H90:P90,"☐ Non")),"")</x:f>
      </x:c>
      <x:c r="R90" s="82"/>
      <x:c r="S90" s="82"/>
      <x:c r="T90" s="82"/>
      <x:c r="U90" s="82"/>
      <x:c r="V90" s="84" t="str">
        <x:f>IFERROR((COUNTIF(R90:U90,"☑ Implémenté")+COUNTIF(R90:U90,"☑ Oui")+0.5*COUNTIF(R90:U90,"◐ Partiel"))/(COUNTIF(R90:U90,"☑ Implémenté")+COUNTIF(R90:U90,"☑ Oui")+COUNTIF(R90:U90,"◐ Partiel")+COUNTIF(R90:U90,"☐ Non implémenté")+COUNTIF(R90:U90,"☐ Non")),"")</x:f>
      </x:c>
      <x:c r="W90" s="82"/>
      <x:c r="X90" s="82"/>
      <x:c r="Y90" s="84" t="str">
        <x:f>IFERROR((COUNTIF(W90:X90,"☑ Implémenté")+COUNTIF(W90:X90,"☑ Oui")+0.5*COUNTIF(W90:X90,"◐ Partiel"))/(COUNTIF(W90:X90,"☑ Implémenté")+COUNTIF(W90:X90,"☑ Oui")+COUNTIF(W90:X90,"◐ Partiel")+COUNTIF(W90:X90,"☐ Non implémenté")+COUNTIF(W90:X90,"☐ Non")),"")</x:f>
      </x:c>
      <x:c r="Z90" s="82"/>
      <x:c r="AA90" s="82"/>
      <x:c r="AB90" s="82"/>
      <x:c r="AC90" s="82"/>
      <x:c r="AD90" s="82"/>
      <x:c r="AE90" s="82"/>
      <x:c r="AF90" s="82"/>
      <x:c r="AG90" s="84"/>
      <x:c r="AH90" s="82"/>
      <x:c r="AI90" s="82"/>
      <x:c r="AJ90" s="82"/>
      <x:c r="AK90" s="82"/>
      <x:c r="AL90" s="82"/>
      <x:c r="AM90" s="82"/>
      <x:c r="AN90" s="82"/>
      <x:c r="AO90" s="82"/>
      <x:c r="AP90" s="82"/>
      <x:c r="AQ90" s="82"/>
      <x:c r="AR90" s="82"/>
      <x:c r="AS90" s="82"/>
      <x:c r="AT90" s="82"/>
      <x:c r="AU90" s="82"/>
      <x:c r="AV90" s="82"/>
      <x:c r="AW90" s="82"/>
      <x:c r="AX90" s="82"/>
      <x:c r="AY90" s="82"/>
      <x:c r="AZ90" s="82"/>
      <x:c r="BA90" s="82"/>
      <x:c r="BB90" s="82"/>
      <x:c r="BC90" s="82"/>
      <x:c r="BD90" s="84" t="str">
        <x:f>IFERROR((COUNTIF(AZ90:BC90,"☑ Implémenté")+COUNTIF(AZ90:BC90,"☑ Oui")+0.5*COUNTIF(AZ90:BC90,"◐ Partiel"))/(COUNTIF(AZ90:BC90,"☑ Implémenté")+COUNTIF(AZ90:BC90,"☑ Oui")+COUNTIF(AZ90:BC90,"◐ Partiel")+COUNTIF(AZ90:BC90,"☐ Non implémenté")+COUNTIF(AZ90:BC90,"☐ Non")),"")</x:f>
      </x:c>
      <x:c r="BE90" s="84" t="str">
        <x:f>IFERROR((COUNTIF(H90:BD90,"☑ Implémenté")+COUNTIF(H90:BD90,"☑ Oui")+COUNTIF(H90:BD90,"DevOpsFundation")+0.5*COUNTIF(H90:BD90,"◐ Partiel"))/(COUNTIF(H90:BD90,"☑ Implémenté")+COUNTIF(H90:BD90,"☑ Oui")+COUNTIF(H90:BD90,"DevOpsFundation")+COUNTIF(H90:BD90,"◐ Partiel")+COUNTIF(H90:BD90,"☐ Non implémenté")+COUNTIF(H90:BD90,"☐ Non")),"")</x:f>
      </x:c>
      <x:c r="BF90" s="82" t="str">
        <x:f>IF(B90="","",COUNTIF(H90:BD90,"☐ Non implémenté")+COUNTIF(H90:BD90,"☐ Non")+COUNTIF(H90:BD90,"◐ Partiel"))</x:f>
      </x:c>
      <x:c r="BG90" s="82"/>
    </x:row>
    <x:row r="91">
      <x:c r="A91" s="82"/>
      <x:c r="B91" s="82"/>
      <x:c r="C91" s="82"/>
      <x:c r="D91" s="82"/>
      <x:c r="E91" s="82"/>
      <x:c r="F91" s="82"/>
      <x:c r="G91" s="82"/>
      <x:c r="H91" s="82"/>
      <x:c r="I91" s="82"/>
      <x:c r="J91" s="82"/>
      <x:c r="K91" s="82"/>
      <x:c r="L91" s="82"/>
      <x:c r="M91" s="82"/>
      <x:c r="N91" s="82"/>
      <x:c r="O91" s="82"/>
      <x:c r="P91" s="82"/>
      <x:c r="Q91" s="84" t="str">
        <x:f>IFERROR((COUNTIF(H91:P91,"☑ Implémenté")+COUNTIF(H91:P91,"☑ Oui")+0.5*COUNTIF(H91:P91,"◐ Partiel"))/(COUNTIF(H91:P91,"☑ Implémenté")+COUNTIF(H91:P91,"☑ Oui")+COUNTIF(H91:P91,"◐ Partiel")+COUNTIF(H91:P91,"☐ Non implémenté")+COUNTIF(H91:P91,"☐ Non")),"")</x:f>
      </x:c>
      <x:c r="R91" s="82"/>
      <x:c r="S91" s="82"/>
      <x:c r="T91" s="82"/>
      <x:c r="U91" s="82"/>
      <x:c r="V91" s="84" t="str">
        <x:f>IFERROR((COUNTIF(R91:U91,"☑ Implémenté")+COUNTIF(R91:U91,"☑ Oui")+0.5*COUNTIF(R91:U91,"◐ Partiel"))/(COUNTIF(R91:U91,"☑ Implémenté")+COUNTIF(R91:U91,"☑ Oui")+COUNTIF(R91:U91,"◐ Partiel")+COUNTIF(R91:U91,"☐ Non implémenté")+COUNTIF(R91:U91,"☐ Non")),"")</x:f>
      </x:c>
      <x:c r="W91" s="82"/>
      <x:c r="X91" s="82"/>
      <x:c r="Y91" s="84" t="str">
        <x:f>IFERROR((COUNTIF(W91:X91,"☑ Implémenté")+COUNTIF(W91:X91,"☑ Oui")+0.5*COUNTIF(W91:X91,"◐ Partiel"))/(COUNTIF(W91:X91,"☑ Implémenté")+COUNTIF(W91:X91,"☑ Oui")+COUNTIF(W91:X91,"◐ Partiel")+COUNTIF(W91:X91,"☐ Non implémenté")+COUNTIF(W91:X91,"☐ Non")),"")</x:f>
      </x:c>
      <x:c r="Z91" s="82"/>
      <x:c r="AA91" s="82"/>
      <x:c r="AB91" s="82"/>
      <x:c r="AC91" s="82"/>
      <x:c r="AD91" s="82"/>
      <x:c r="AE91" s="82"/>
      <x:c r="AF91" s="82"/>
      <x:c r="AG91" s="84"/>
      <x:c r="AH91" s="82"/>
      <x:c r="AI91" s="82"/>
      <x:c r="AJ91" s="82"/>
      <x:c r="AK91" s="82"/>
      <x:c r="AL91" s="82"/>
      <x:c r="AM91" s="82"/>
      <x:c r="AN91" s="82"/>
      <x:c r="AO91" s="82"/>
      <x:c r="AP91" s="82"/>
      <x:c r="AQ91" s="82"/>
      <x:c r="AR91" s="82"/>
      <x:c r="AS91" s="82"/>
      <x:c r="AT91" s="82"/>
      <x:c r="AU91" s="82"/>
      <x:c r="AV91" s="82"/>
      <x:c r="AW91" s="82"/>
      <x:c r="AX91" s="82"/>
      <x:c r="AY91" s="82"/>
      <x:c r="AZ91" s="82"/>
      <x:c r="BA91" s="82"/>
      <x:c r="BB91" s="82"/>
      <x:c r="BC91" s="82"/>
      <x:c r="BD91" s="84" t="str">
        <x:f>IFERROR((COUNTIF(AZ91:BC91,"☑ Implémenté")+COUNTIF(AZ91:BC91,"☑ Oui")+0.5*COUNTIF(AZ91:BC91,"◐ Partiel"))/(COUNTIF(AZ91:BC91,"☑ Implémenté")+COUNTIF(AZ91:BC91,"☑ Oui")+COUNTIF(AZ91:BC91,"◐ Partiel")+COUNTIF(AZ91:BC91,"☐ Non implémenté")+COUNTIF(AZ91:BC91,"☐ Non")),"")</x:f>
      </x:c>
      <x:c r="BE91" s="84" t="str">
        <x:f>IFERROR((COUNTIF(H91:BD91,"☑ Implémenté")+COUNTIF(H91:BD91,"☑ Oui")+COUNTIF(H91:BD91,"DevOpsFundation")+0.5*COUNTIF(H91:BD91,"◐ Partiel"))/(COUNTIF(H91:BD91,"☑ Implémenté")+COUNTIF(H91:BD91,"☑ Oui")+COUNTIF(H91:BD91,"DevOpsFundation")+COUNTIF(H91:BD91,"◐ Partiel")+COUNTIF(H91:BD91,"☐ Non implémenté")+COUNTIF(H91:BD91,"☐ Non")),"")</x:f>
      </x:c>
      <x:c r="BF91" s="82" t="str">
        <x:f>IF(B91="","",COUNTIF(H91:BD91,"☐ Non implémenté")+COUNTIF(H91:BD91,"☐ Non")+COUNTIF(H91:BD91,"◐ Partiel"))</x:f>
      </x:c>
      <x:c r="BG91" s="82"/>
    </x:row>
    <x:row r="92">
      <x:c r="A92" s="82"/>
      <x:c r="B92" s="82"/>
      <x:c r="C92" s="82"/>
      <x:c r="D92" s="82"/>
      <x:c r="E92" s="82"/>
      <x:c r="F92" s="82"/>
      <x:c r="G92" s="82"/>
      <x:c r="H92" s="82"/>
      <x:c r="I92" s="82"/>
      <x:c r="J92" s="82"/>
      <x:c r="K92" s="82"/>
      <x:c r="L92" s="82"/>
      <x:c r="M92" s="82"/>
      <x:c r="N92" s="82"/>
      <x:c r="O92" s="82"/>
      <x:c r="P92" s="82"/>
      <x:c r="Q92" s="84" t="str">
        <x:f>IFERROR((COUNTIF(H92:P92,"☑ Implémenté")+COUNTIF(H92:P92,"☑ Oui")+0.5*COUNTIF(H92:P92,"◐ Partiel"))/(COUNTIF(H92:P92,"☑ Implémenté")+COUNTIF(H92:P92,"☑ Oui")+COUNTIF(H92:P92,"◐ Partiel")+COUNTIF(H92:P92,"☐ Non implémenté")+COUNTIF(H92:P92,"☐ Non")),"")</x:f>
      </x:c>
      <x:c r="R92" s="82"/>
      <x:c r="S92" s="82"/>
      <x:c r="T92" s="82"/>
      <x:c r="U92" s="82"/>
      <x:c r="V92" s="84" t="str">
        <x:f>IFERROR((COUNTIF(R92:U92,"☑ Implémenté")+COUNTIF(R92:U92,"☑ Oui")+0.5*COUNTIF(R92:U92,"◐ Partiel"))/(COUNTIF(R92:U92,"☑ Implémenté")+COUNTIF(R92:U92,"☑ Oui")+COUNTIF(R92:U92,"◐ Partiel")+COUNTIF(R92:U92,"☐ Non implémenté")+COUNTIF(R92:U92,"☐ Non")),"")</x:f>
      </x:c>
      <x:c r="W92" s="82"/>
      <x:c r="X92" s="82"/>
      <x:c r="Y92" s="84" t="str">
        <x:f>IFERROR((COUNTIF(W92:X92,"☑ Implémenté")+COUNTIF(W92:X92,"☑ Oui")+0.5*COUNTIF(W92:X92,"◐ Partiel"))/(COUNTIF(W92:X92,"☑ Implémenté")+COUNTIF(W92:X92,"☑ Oui")+COUNTIF(W92:X92,"◐ Partiel")+COUNTIF(W92:X92,"☐ Non implémenté")+COUNTIF(W92:X92,"☐ Non")),"")</x:f>
      </x:c>
      <x:c r="Z92" s="82"/>
      <x:c r="AA92" s="82"/>
      <x:c r="AB92" s="82"/>
      <x:c r="AC92" s="82"/>
      <x:c r="AD92" s="82"/>
      <x:c r="AE92" s="82"/>
      <x:c r="AF92" s="82"/>
      <x:c r="AG92" s="84"/>
      <x:c r="AH92" s="82"/>
      <x:c r="AI92" s="82"/>
      <x:c r="AJ92" s="82"/>
      <x:c r="AK92" s="82"/>
      <x:c r="AL92" s="82"/>
      <x:c r="AM92" s="82"/>
      <x:c r="AN92" s="82"/>
      <x:c r="AO92" s="82"/>
      <x:c r="AP92" s="82"/>
      <x:c r="AQ92" s="82"/>
      <x:c r="AR92" s="82"/>
      <x:c r="AS92" s="82"/>
      <x:c r="AT92" s="82"/>
      <x:c r="AU92" s="82"/>
      <x:c r="AV92" s="82"/>
      <x:c r="AW92" s="82"/>
      <x:c r="AX92" s="82"/>
      <x:c r="AY92" s="82"/>
      <x:c r="AZ92" s="82"/>
      <x:c r="BA92" s="82"/>
      <x:c r="BB92" s="82"/>
      <x:c r="BC92" s="82"/>
      <x:c r="BD92" s="84" t="str">
        <x:f>IFERROR((COUNTIF(AZ92:BC92,"☑ Implémenté")+COUNTIF(AZ92:BC92,"☑ Oui")+0.5*COUNTIF(AZ92:BC92,"◐ Partiel"))/(COUNTIF(AZ92:BC92,"☑ Implémenté")+COUNTIF(AZ92:BC92,"☑ Oui")+COUNTIF(AZ92:BC92,"◐ Partiel")+COUNTIF(AZ92:BC92,"☐ Non implémenté")+COUNTIF(AZ92:BC92,"☐ Non")),"")</x:f>
      </x:c>
      <x:c r="BE92" s="84" t="str">
        <x:f>IFERROR((COUNTIF(H92:BD92,"☑ Implémenté")+COUNTIF(H92:BD92,"☑ Oui")+COUNTIF(H92:BD92,"DevOpsFundation")+0.5*COUNTIF(H92:BD92,"◐ Partiel"))/(COUNTIF(H92:BD92,"☑ Implémenté")+COUNTIF(H92:BD92,"☑ Oui")+COUNTIF(H92:BD92,"DevOpsFundation")+COUNTIF(H92:BD92,"◐ Partiel")+COUNTIF(H92:BD92,"☐ Non implémenté")+COUNTIF(H92:BD92,"☐ Non")),"")</x:f>
      </x:c>
      <x:c r="BF92" s="82" t="str">
        <x:f>IF(B92="","",COUNTIF(H92:BD92,"☐ Non implémenté")+COUNTIF(H92:BD92,"☐ Non")+COUNTIF(H92:BD92,"◐ Partiel"))</x:f>
      </x:c>
      <x:c r="BG92" s="82"/>
    </x:row>
    <x:row r="93">
      <x:c r="A93" s="82"/>
      <x:c r="B93" s="82"/>
      <x:c r="C93" s="82"/>
      <x:c r="D93" s="82"/>
      <x:c r="E93" s="82"/>
      <x:c r="F93" s="82"/>
      <x:c r="G93" s="82"/>
      <x:c r="H93" s="82"/>
      <x:c r="I93" s="82"/>
      <x:c r="J93" s="82"/>
      <x:c r="K93" s="82"/>
      <x:c r="L93" s="82"/>
      <x:c r="M93" s="82"/>
      <x:c r="N93" s="82"/>
      <x:c r="O93" s="82"/>
      <x:c r="P93" s="82"/>
      <x:c r="Q93" s="84" t="str">
        <x:f>IFERROR((COUNTIF(H93:P93,"☑ Implémenté")+COUNTIF(H93:P93,"☑ Oui")+0.5*COUNTIF(H93:P93,"◐ Partiel"))/(COUNTIF(H93:P93,"☑ Implémenté")+COUNTIF(H93:P93,"☑ Oui")+COUNTIF(H93:P93,"◐ Partiel")+COUNTIF(H93:P93,"☐ Non implémenté")+COUNTIF(H93:P93,"☐ Non")),"")</x:f>
      </x:c>
      <x:c r="R93" s="82"/>
      <x:c r="S93" s="82"/>
      <x:c r="T93" s="82"/>
      <x:c r="U93" s="82"/>
      <x:c r="V93" s="84" t="str">
        <x:f>IFERROR((COUNTIF(R93:U93,"☑ Implémenté")+COUNTIF(R93:U93,"☑ Oui")+0.5*COUNTIF(R93:U93,"◐ Partiel"))/(COUNTIF(R93:U93,"☑ Implémenté")+COUNTIF(R93:U93,"☑ Oui")+COUNTIF(R93:U93,"◐ Partiel")+COUNTIF(R93:U93,"☐ Non implémenté")+COUNTIF(R93:U93,"☐ Non")),"")</x:f>
      </x:c>
      <x:c r="W93" s="82"/>
      <x:c r="X93" s="82"/>
      <x:c r="Y93" s="84" t="str">
        <x:f>IFERROR((COUNTIF(W93:X93,"☑ Implémenté")+COUNTIF(W93:X93,"☑ Oui")+0.5*COUNTIF(W93:X93,"◐ Partiel"))/(COUNTIF(W93:X93,"☑ Implémenté")+COUNTIF(W93:X93,"☑ Oui")+COUNTIF(W93:X93,"◐ Partiel")+COUNTIF(W93:X93,"☐ Non implémenté")+COUNTIF(W93:X93,"☐ Non")),"")</x:f>
      </x:c>
      <x:c r="Z93" s="82"/>
      <x:c r="AA93" s="82"/>
      <x:c r="AB93" s="82"/>
      <x:c r="AC93" s="82"/>
      <x:c r="AD93" s="82"/>
      <x:c r="AE93" s="82"/>
      <x:c r="AF93" s="82"/>
      <x:c r="AG93" s="84"/>
      <x:c r="AH93" s="82"/>
      <x:c r="AI93" s="82"/>
      <x:c r="AJ93" s="82"/>
      <x:c r="AK93" s="82"/>
      <x:c r="AL93" s="82"/>
      <x:c r="AM93" s="82"/>
      <x:c r="AN93" s="82"/>
      <x:c r="AO93" s="82"/>
      <x:c r="AP93" s="82"/>
      <x:c r="AQ93" s="82"/>
      <x:c r="AR93" s="82"/>
      <x:c r="AS93" s="82"/>
      <x:c r="AT93" s="82"/>
      <x:c r="AU93" s="82"/>
      <x:c r="AV93" s="82"/>
      <x:c r="AW93" s="82"/>
      <x:c r="AX93" s="82"/>
      <x:c r="AY93" s="82"/>
      <x:c r="AZ93" s="82"/>
      <x:c r="BA93" s="82"/>
      <x:c r="BB93" s="82"/>
      <x:c r="BC93" s="82"/>
      <x:c r="BD93" s="84" t="str">
        <x:f>IFERROR((COUNTIF(AZ93:BC93,"☑ Implémenté")+COUNTIF(AZ93:BC93,"☑ Oui")+0.5*COUNTIF(AZ93:BC93,"◐ Partiel"))/(COUNTIF(AZ93:BC93,"☑ Implémenté")+COUNTIF(AZ93:BC93,"☑ Oui")+COUNTIF(AZ93:BC93,"◐ Partiel")+COUNTIF(AZ93:BC93,"☐ Non implémenté")+COUNTIF(AZ93:BC93,"☐ Non")),"")</x:f>
      </x:c>
      <x:c r="BE93" s="84" t="str">
        <x:f>IFERROR((COUNTIF(H93:BD93,"☑ Implémenté")+COUNTIF(H93:BD93,"☑ Oui")+COUNTIF(H93:BD93,"DevOpsFundation")+0.5*COUNTIF(H93:BD93,"◐ Partiel"))/(COUNTIF(H93:BD93,"☑ Implémenté")+COUNTIF(H93:BD93,"☑ Oui")+COUNTIF(H93:BD93,"DevOpsFundation")+COUNTIF(H93:BD93,"◐ Partiel")+COUNTIF(H93:BD93,"☐ Non implémenté")+COUNTIF(H93:BD93,"☐ Non")),"")</x:f>
      </x:c>
      <x:c r="BF93" s="82" t="str">
        <x:f>IF(B93="","",COUNTIF(H93:BD93,"☐ Non implémenté")+COUNTIF(H93:BD93,"☐ Non")+COUNTIF(H93:BD93,"◐ Partiel"))</x:f>
      </x:c>
      <x:c r="BG93" s="82"/>
    </x:row>
    <x:row r="94">
      <x:c r="A94" s="82"/>
      <x:c r="B94" s="82"/>
      <x:c r="C94" s="82"/>
      <x:c r="D94" s="82"/>
      <x:c r="E94" s="82"/>
      <x:c r="F94" s="82"/>
      <x:c r="G94" s="82"/>
      <x:c r="H94" s="82"/>
      <x:c r="I94" s="82"/>
      <x:c r="J94" s="82"/>
      <x:c r="K94" s="82"/>
      <x:c r="L94" s="82"/>
      <x:c r="M94" s="82"/>
      <x:c r="N94" s="82"/>
      <x:c r="O94" s="82"/>
      <x:c r="P94" s="82"/>
      <x:c r="Q94" s="84" t="str">
        <x:f>IFERROR((COUNTIF(H94:P94,"☑ Implémenté")+COUNTIF(H94:P94,"☑ Oui")+0.5*COUNTIF(H94:P94,"◐ Partiel"))/(COUNTIF(H94:P94,"☑ Implémenté")+COUNTIF(H94:P94,"☑ Oui")+COUNTIF(H94:P94,"◐ Partiel")+COUNTIF(H94:P94,"☐ Non implémenté")+COUNTIF(H94:P94,"☐ Non")),"")</x:f>
      </x:c>
      <x:c r="R94" s="82"/>
      <x:c r="S94" s="82"/>
      <x:c r="T94" s="82"/>
      <x:c r="U94" s="82"/>
      <x:c r="V94" s="84" t="str">
        <x:f>IFERROR((COUNTIF(R94:U94,"☑ Implémenté")+COUNTIF(R94:U94,"☑ Oui")+0.5*COUNTIF(R94:U94,"◐ Partiel"))/(COUNTIF(R94:U94,"☑ Implémenté")+COUNTIF(R94:U94,"☑ Oui")+COUNTIF(R94:U94,"◐ Partiel")+COUNTIF(R94:U94,"☐ Non implémenté")+COUNTIF(R94:U94,"☐ Non")),"")</x:f>
      </x:c>
      <x:c r="W94" s="82"/>
      <x:c r="X94" s="82"/>
      <x:c r="Y94" s="84" t="str">
        <x:f>IFERROR((COUNTIF(W94:X94,"☑ Implémenté")+COUNTIF(W94:X94,"☑ Oui")+0.5*COUNTIF(W94:X94,"◐ Partiel"))/(COUNTIF(W94:X94,"☑ Implémenté")+COUNTIF(W94:X94,"☑ Oui")+COUNTIF(W94:X94,"◐ Partiel")+COUNTIF(W94:X94,"☐ Non implémenté")+COUNTIF(W94:X94,"☐ Non")),"")</x:f>
      </x:c>
      <x:c r="Z94" s="82"/>
      <x:c r="AA94" s="82"/>
      <x:c r="AB94" s="82"/>
      <x:c r="AC94" s="82"/>
      <x:c r="AD94" s="82"/>
      <x:c r="AE94" s="82"/>
      <x:c r="AF94" s="82"/>
      <x:c r="AG94" s="84"/>
      <x:c r="AH94" s="82"/>
      <x:c r="AI94" s="82"/>
      <x:c r="AJ94" s="82"/>
      <x:c r="AK94" s="82"/>
      <x:c r="AL94" s="82"/>
      <x:c r="AM94" s="82"/>
      <x:c r="AN94" s="82"/>
      <x:c r="AO94" s="82"/>
      <x:c r="AP94" s="82"/>
      <x:c r="AQ94" s="82"/>
      <x:c r="AR94" s="82"/>
      <x:c r="AS94" s="82"/>
      <x:c r="AT94" s="82"/>
      <x:c r="AU94" s="82"/>
      <x:c r="AV94" s="82"/>
      <x:c r="AW94" s="82"/>
      <x:c r="AX94" s="82"/>
      <x:c r="AY94" s="82"/>
      <x:c r="AZ94" s="82"/>
      <x:c r="BA94" s="82"/>
      <x:c r="BB94" s="82"/>
      <x:c r="BC94" s="82"/>
      <x:c r="BD94" s="84" t="str">
        <x:f>IFERROR((COUNTIF(AZ94:BC94,"☑ Implémenté")+COUNTIF(AZ94:BC94,"☑ Oui")+0.5*COUNTIF(AZ94:BC94,"◐ Partiel"))/(COUNTIF(AZ94:BC94,"☑ Implémenté")+COUNTIF(AZ94:BC94,"☑ Oui")+COUNTIF(AZ94:BC94,"◐ Partiel")+COUNTIF(AZ94:BC94,"☐ Non implémenté")+COUNTIF(AZ94:BC94,"☐ Non")),"")</x:f>
      </x:c>
      <x:c r="BE94" s="84" t="str">
        <x:f>IFERROR((COUNTIF(H94:BD94,"☑ Implémenté")+COUNTIF(H94:BD94,"☑ Oui")+COUNTIF(H94:BD94,"DevOpsFundation")+0.5*COUNTIF(H94:BD94,"◐ Partiel"))/(COUNTIF(H94:BD94,"☑ Implémenté")+COUNTIF(H94:BD94,"☑ Oui")+COUNTIF(H94:BD94,"DevOpsFundation")+COUNTIF(H94:BD94,"◐ Partiel")+COUNTIF(H94:BD94,"☐ Non implémenté")+COUNTIF(H94:BD94,"☐ Non")),"")</x:f>
      </x:c>
      <x:c r="BF94" s="82" t="str">
        <x:f>IF(B94="","",COUNTIF(H94:BD94,"☐ Non implémenté")+COUNTIF(H94:BD94,"☐ Non")+COUNTIF(H94:BD94,"◐ Partiel"))</x:f>
      </x:c>
      <x:c r="BG94" s="82"/>
    </x:row>
    <x:row r="95">
      <x:c r="A95" s="82"/>
      <x:c r="B95" s="82"/>
      <x:c r="C95" s="82"/>
      <x:c r="D95" s="82"/>
      <x:c r="E95" s="82"/>
      <x:c r="F95" s="82"/>
      <x:c r="G95" s="82"/>
      <x:c r="H95" s="82"/>
      <x:c r="I95" s="82"/>
      <x:c r="J95" s="82"/>
      <x:c r="K95" s="82"/>
      <x:c r="L95" s="82"/>
      <x:c r="M95" s="82"/>
      <x:c r="N95" s="82"/>
      <x:c r="O95" s="82"/>
      <x:c r="P95" s="82"/>
      <x:c r="Q95" s="84" t="str">
        <x:f>IFERROR((COUNTIF(H95:P95,"☑ Implémenté")+COUNTIF(H95:P95,"☑ Oui")+0.5*COUNTIF(H95:P95,"◐ Partiel"))/(COUNTIF(H95:P95,"☑ Implémenté")+COUNTIF(H95:P95,"☑ Oui")+COUNTIF(H95:P95,"◐ Partiel")+COUNTIF(H95:P95,"☐ Non implémenté")+COUNTIF(H95:P95,"☐ Non")),"")</x:f>
      </x:c>
      <x:c r="R95" s="82"/>
      <x:c r="S95" s="82"/>
      <x:c r="T95" s="82"/>
      <x:c r="U95" s="82"/>
      <x:c r="V95" s="84" t="str">
        <x:f>IFERROR((COUNTIF(R95:U95,"☑ Implémenté")+COUNTIF(R95:U95,"☑ Oui")+0.5*COUNTIF(R95:U95,"◐ Partiel"))/(COUNTIF(R95:U95,"☑ Implémenté")+COUNTIF(R95:U95,"☑ Oui")+COUNTIF(R95:U95,"◐ Partiel")+COUNTIF(R95:U95,"☐ Non implémenté")+COUNTIF(R95:U95,"☐ Non")),"")</x:f>
      </x:c>
      <x:c r="W95" s="82"/>
      <x:c r="X95" s="82"/>
      <x:c r="Y95" s="84" t="str">
        <x:f>IFERROR((COUNTIF(W95:X95,"☑ Implémenté")+COUNTIF(W95:X95,"☑ Oui")+0.5*COUNTIF(W95:X95,"◐ Partiel"))/(COUNTIF(W95:X95,"☑ Implémenté")+COUNTIF(W95:X95,"☑ Oui")+COUNTIF(W95:X95,"◐ Partiel")+COUNTIF(W95:X95,"☐ Non implémenté")+COUNTIF(W95:X95,"☐ Non")),"")</x:f>
      </x:c>
      <x:c r="Z95" s="82"/>
      <x:c r="AA95" s="82"/>
      <x:c r="AB95" s="82"/>
      <x:c r="AC95" s="82"/>
      <x:c r="AD95" s="82"/>
      <x:c r="AE95" s="82"/>
      <x:c r="AF95" s="82"/>
      <x:c r="AG95" s="84"/>
      <x:c r="AH95" s="82"/>
      <x:c r="AI95" s="82"/>
      <x:c r="AJ95" s="82"/>
      <x:c r="AK95" s="82"/>
      <x:c r="AL95" s="82"/>
      <x:c r="AM95" s="82"/>
      <x:c r="AN95" s="82"/>
      <x:c r="AO95" s="82"/>
      <x:c r="AP95" s="82"/>
      <x:c r="AQ95" s="82"/>
      <x:c r="AR95" s="82"/>
      <x:c r="AS95" s="82"/>
      <x:c r="AT95" s="82"/>
      <x:c r="AU95" s="82"/>
      <x:c r="AV95" s="82"/>
      <x:c r="AW95" s="82"/>
      <x:c r="AX95" s="82"/>
      <x:c r="AY95" s="82"/>
      <x:c r="AZ95" s="82"/>
      <x:c r="BA95" s="82"/>
      <x:c r="BB95" s="82"/>
      <x:c r="BC95" s="82"/>
      <x:c r="BD95" s="84" t="str">
        <x:f>IFERROR((COUNTIF(AZ95:BC95,"☑ Implémenté")+COUNTIF(AZ95:BC95,"☑ Oui")+0.5*COUNTIF(AZ95:BC95,"◐ Partiel"))/(COUNTIF(AZ95:BC95,"☑ Implémenté")+COUNTIF(AZ95:BC95,"☑ Oui")+COUNTIF(AZ95:BC95,"◐ Partiel")+COUNTIF(AZ95:BC95,"☐ Non implémenté")+COUNTIF(AZ95:BC95,"☐ Non")),"")</x:f>
      </x:c>
      <x:c r="BE95" s="84" t="str">
        <x:f>IFERROR((COUNTIF(H95:BD95,"☑ Implémenté")+COUNTIF(H95:BD95,"☑ Oui")+COUNTIF(H95:BD95,"DevOpsFundation")+0.5*COUNTIF(H95:BD95,"◐ Partiel"))/(COUNTIF(H95:BD95,"☑ Implémenté")+COUNTIF(H95:BD95,"☑ Oui")+COUNTIF(H95:BD95,"DevOpsFundation")+COUNTIF(H95:BD95,"◐ Partiel")+COUNTIF(H95:BD95,"☐ Non implémenté")+COUNTIF(H95:BD95,"☐ Non")),"")</x:f>
      </x:c>
      <x:c r="BF95" s="82" t="str">
        <x:f>IF(B95="","",COUNTIF(H95:BD95,"☐ Non implémenté")+COUNTIF(H95:BD95,"☐ Non")+COUNTIF(H95:BD95,"◐ Partiel"))</x:f>
      </x:c>
      <x:c r="BG95" s="82"/>
    </x:row>
    <x:row r="96">
      <x:c r="A96" s="82"/>
      <x:c r="B96" s="82"/>
      <x:c r="C96" s="82"/>
      <x:c r="D96" s="82"/>
      <x:c r="E96" s="82"/>
      <x:c r="F96" s="82"/>
      <x:c r="G96" s="82"/>
      <x:c r="H96" s="82"/>
      <x:c r="I96" s="82"/>
      <x:c r="J96" s="82"/>
      <x:c r="K96" s="82"/>
      <x:c r="L96" s="82"/>
      <x:c r="M96" s="82"/>
      <x:c r="N96" s="82"/>
      <x:c r="O96" s="82"/>
      <x:c r="P96" s="82"/>
      <x:c r="Q96" s="84" t="str">
        <x:f>IFERROR((COUNTIF(H96:P96,"☑ Implémenté")+COUNTIF(H96:P96,"☑ Oui")+0.5*COUNTIF(H96:P96,"◐ Partiel"))/(COUNTIF(H96:P96,"☑ Implémenté")+COUNTIF(H96:P96,"☑ Oui")+COUNTIF(H96:P96,"◐ Partiel")+COUNTIF(H96:P96,"☐ Non implémenté")+COUNTIF(H96:P96,"☐ Non")),"")</x:f>
      </x:c>
      <x:c r="R96" s="82"/>
      <x:c r="S96" s="82"/>
      <x:c r="T96" s="82"/>
      <x:c r="U96" s="82"/>
      <x:c r="V96" s="84" t="str">
        <x:f>IFERROR((COUNTIF(R96:U96,"☑ Implémenté")+COUNTIF(R96:U96,"☑ Oui")+0.5*COUNTIF(R96:U96,"◐ Partiel"))/(COUNTIF(R96:U96,"☑ Implémenté")+COUNTIF(R96:U96,"☑ Oui")+COUNTIF(R96:U96,"◐ Partiel")+COUNTIF(R96:U96,"☐ Non implémenté")+COUNTIF(R96:U96,"☐ Non")),"")</x:f>
      </x:c>
      <x:c r="W96" s="82"/>
      <x:c r="X96" s="82"/>
      <x:c r="Y96" s="84" t="str">
        <x:f>IFERROR((COUNTIF(W96:X96,"☑ Implémenté")+COUNTIF(W96:X96,"☑ Oui")+0.5*COUNTIF(W96:X96,"◐ Partiel"))/(COUNTIF(W96:X96,"☑ Implémenté")+COUNTIF(W96:X96,"☑ Oui")+COUNTIF(W96:X96,"◐ Partiel")+COUNTIF(W96:X96,"☐ Non implémenté")+COUNTIF(W96:X96,"☐ Non")),"")</x:f>
      </x:c>
      <x:c r="Z96" s="82"/>
      <x:c r="AA96" s="82"/>
      <x:c r="AB96" s="82"/>
      <x:c r="AC96" s="82"/>
      <x:c r="AD96" s="82"/>
      <x:c r="AE96" s="82"/>
      <x:c r="AF96" s="82"/>
      <x:c r="AG96" s="84"/>
      <x:c r="AH96" s="82"/>
      <x:c r="AI96" s="82"/>
      <x:c r="AJ96" s="82"/>
      <x:c r="AK96" s="82"/>
      <x:c r="AL96" s="82"/>
      <x:c r="AM96" s="82"/>
      <x:c r="AN96" s="82"/>
      <x:c r="AO96" s="82"/>
      <x:c r="AP96" s="82"/>
      <x:c r="AQ96" s="82"/>
      <x:c r="AR96" s="82"/>
      <x:c r="AS96" s="82"/>
      <x:c r="AT96" s="82"/>
      <x:c r="AU96" s="82"/>
      <x:c r="AV96" s="82"/>
      <x:c r="AW96" s="82"/>
      <x:c r="AX96" s="82"/>
      <x:c r="AY96" s="82"/>
      <x:c r="AZ96" s="82"/>
      <x:c r="BA96" s="82"/>
      <x:c r="BB96" s="82"/>
      <x:c r="BC96" s="82"/>
      <x:c r="BD96" s="84" t="str">
        <x:f>IFERROR((COUNTIF(AZ96:BC96,"☑ Implémenté")+COUNTIF(AZ96:BC96,"☑ Oui")+0.5*COUNTIF(AZ96:BC96,"◐ Partiel"))/(COUNTIF(AZ96:BC96,"☑ Implémenté")+COUNTIF(AZ96:BC96,"☑ Oui")+COUNTIF(AZ96:BC96,"◐ Partiel")+COUNTIF(AZ96:BC96,"☐ Non implémenté")+COUNTIF(AZ96:BC96,"☐ Non")),"")</x:f>
      </x:c>
      <x:c r="BE96" s="84" t="str">
        <x:f>IFERROR((COUNTIF(H96:BD96,"☑ Implémenté")+COUNTIF(H96:BD96,"☑ Oui")+COUNTIF(H96:BD96,"DevOpsFundation")+0.5*COUNTIF(H96:BD96,"◐ Partiel"))/(COUNTIF(H96:BD96,"☑ Implémenté")+COUNTIF(H96:BD96,"☑ Oui")+COUNTIF(H96:BD96,"DevOpsFundation")+COUNTIF(H96:BD96,"◐ Partiel")+COUNTIF(H96:BD96,"☐ Non implémenté")+COUNTIF(H96:BD96,"☐ Non")),"")</x:f>
      </x:c>
      <x:c r="BF96" s="82" t="str">
        <x:f>IF(B96="","",COUNTIF(H96:BD96,"☐ Non implémenté")+COUNTIF(H96:BD96,"☐ Non")+COUNTIF(H96:BD96,"◐ Partiel"))</x:f>
      </x:c>
      <x:c r="BG96" s="82"/>
    </x:row>
    <x:row r="97">
      <x:c r="A97" s="82"/>
      <x:c r="B97" s="82"/>
      <x:c r="C97" s="82"/>
      <x:c r="D97" s="82"/>
      <x:c r="E97" s="82"/>
      <x:c r="F97" s="82"/>
      <x:c r="G97" s="82"/>
      <x:c r="H97" s="82"/>
      <x:c r="I97" s="82"/>
      <x:c r="J97" s="82"/>
      <x:c r="K97" s="82"/>
      <x:c r="L97" s="82"/>
      <x:c r="M97" s="82"/>
      <x:c r="N97" s="82"/>
      <x:c r="O97" s="82"/>
      <x:c r="P97" s="82"/>
      <x:c r="Q97" s="84" t="str">
        <x:f>IFERROR((COUNTIF(H97:P97,"☑ Implémenté")+COUNTIF(H97:P97,"☑ Oui")+0.5*COUNTIF(H97:P97,"◐ Partiel"))/(COUNTIF(H97:P97,"☑ Implémenté")+COUNTIF(H97:P97,"☑ Oui")+COUNTIF(H97:P97,"◐ Partiel")+COUNTIF(H97:P97,"☐ Non implémenté")+COUNTIF(H97:P97,"☐ Non")),"")</x:f>
      </x:c>
      <x:c r="R97" s="82"/>
      <x:c r="S97" s="82"/>
      <x:c r="T97" s="82"/>
      <x:c r="U97" s="82"/>
      <x:c r="V97" s="84" t="str">
        <x:f>IFERROR((COUNTIF(R97:U97,"☑ Implémenté")+COUNTIF(R97:U97,"☑ Oui")+0.5*COUNTIF(R97:U97,"◐ Partiel"))/(COUNTIF(R97:U97,"☑ Implémenté")+COUNTIF(R97:U97,"☑ Oui")+COUNTIF(R97:U97,"◐ Partiel")+COUNTIF(R97:U97,"☐ Non implémenté")+COUNTIF(R97:U97,"☐ Non")),"")</x:f>
      </x:c>
      <x:c r="W97" s="82"/>
      <x:c r="X97" s="82"/>
      <x:c r="Y97" s="84" t="str">
        <x:f>IFERROR((COUNTIF(W97:X97,"☑ Implémenté")+COUNTIF(W97:X97,"☑ Oui")+0.5*COUNTIF(W97:X97,"◐ Partiel"))/(COUNTIF(W97:X97,"☑ Implémenté")+COUNTIF(W97:X97,"☑ Oui")+COUNTIF(W97:X97,"◐ Partiel")+COUNTIF(W97:X97,"☐ Non implémenté")+COUNTIF(W97:X97,"☐ Non")),"")</x:f>
      </x:c>
      <x:c r="Z97" s="82"/>
      <x:c r="AA97" s="82"/>
      <x:c r="AB97" s="82"/>
      <x:c r="AC97" s="82"/>
      <x:c r="AD97" s="82"/>
      <x:c r="AE97" s="82"/>
      <x:c r="AF97" s="82"/>
      <x:c r="AG97" s="84"/>
      <x:c r="AH97" s="82"/>
      <x:c r="AI97" s="82"/>
      <x:c r="AJ97" s="82"/>
      <x:c r="AK97" s="82"/>
      <x:c r="AL97" s="82"/>
      <x:c r="AM97" s="82"/>
      <x:c r="AN97" s="82"/>
      <x:c r="AO97" s="82"/>
      <x:c r="AP97" s="82"/>
      <x:c r="AQ97" s="82"/>
      <x:c r="AR97" s="82"/>
      <x:c r="AS97" s="82"/>
      <x:c r="AT97" s="82"/>
      <x:c r="AU97" s="82"/>
      <x:c r="AV97" s="82"/>
      <x:c r="AW97" s="82"/>
      <x:c r="AX97" s="82"/>
      <x:c r="AY97" s="82"/>
      <x:c r="AZ97" s="82"/>
      <x:c r="BA97" s="82"/>
      <x:c r="BB97" s="82"/>
      <x:c r="BC97" s="82"/>
      <x:c r="BD97" s="84" t="str">
        <x:f>IFERROR((COUNTIF(AZ97:BC97,"☑ Implémenté")+COUNTIF(AZ97:BC97,"☑ Oui")+0.5*COUNTIF(AZ97:BC97,"◐ Partiel"))/(COUNTIF(AZ97:BC97,"☑ Implémenté")+COUNTIF(AZ97:BC97,"☑ Oui")+COUNTIF(AZ97:BC97,"◐ Partiel")+COUNTIF(AZ97:BC97,"☐ Non implémenté")+COUNTIF(AZ97:BC97,"☐ Non")),"")</x:f>
      </x:c>
      <x:c r="BE97" s="84" t="str">
        <x:f>IFERROR((COUNTIF(H97:BD97,"☑ Implémenté")+COUNTIF(H97:BD97,"☑ Oui")+COUNTIF(H97:BD97,"DevOpsFundation")+0.5*COUNTIF(H97:BD97,"◐ Partiel"))/(COUNTIF(H97:BD97,"☑ Implémenté")+COUNTIF(H97:BD97,"☑ Oui")+COUNTIF(H97:BD97,"DevOpsFundation")+COUNTIF(H97:BD97,"◐ Partiel")+COUNTIF(H97:BD97,"☐ Non implémenté")+COUNTIF(H97:BD97,"☐ Non")),"")</x:f>
      </x:c>
      <x:c r="BF97" s="82" t="str">
        <x:f>IF(B97="","",COUNTIF(H97:BD97,"☐ Non implémenté")+COUNTIF(H97:BD97,"☐ Non")+COUNTIF(H97:BD97,"◐ Partiel"))</x:f>
      </x:c>
      <x:c r="BG97" s="82"/>
    </x:row>
    <x:row r="98">
      <x:c r="A98" s="82"/>
      <x:c r="B98" s="82"/>
      <x:c r="C98" s="82"/>
      <x:c r="D98" s="82"/>
      <x:c r="E98" s="82"/>
      <x:c r="F98" s="82"/>
      <x:c r="G98" s="82"/>
      <x:c r="H98" s="82"/>
      <x:c r="I98" s="82"/>
      <x:c r="J98" s="82"/>
      <x:c r="K98" s="82"/>
      <x:c r="L98" s="82"/>
      <x:c r="M98" s="82"/>
      <x:c r="N98" s="82"/>
      <x:c r="O98" s="82"/>
      <x:c r="P98" s="82"/>
      <x:c r="Q98" s="84" t="str">
        <x:f>IFERROR((COUNTIF(H98:P98,"☑ Implémenté")+COUNTIF(H98:P98,"☑ Oui")+0.5*COUNTIF(H98:P98,"◐ Partiel"))/(COUNTIF(H98:P98,"☑ Implémenté")+COUNTIF(H98:P98,"☑ Oui")+COUNTIF(H98:P98,"◐ Partiel")+COUNTIF(H98:P98,"☐ Non implémenté")+COUNTIF(H98:P98,"☐ Non")),"")</x:f>
      </x:c>
      <x:c r="R98" s="82"/>
      <x:c r="S98" s="82"/>
      <x:c r="T98" s="82"/>
      <x:c r="U98" s="82"/>
      <x:c r="V98" s="84" t="str">
        <x:f>IFERROR((COUNTIF(R98:U98,"☑ Implémenté")+COUNTIF(R98:U98,"☑ Oui")+0.5*COUNTIF(R98:U98,"◐ Partiel"))/(COUNTIF(R98:U98,"☑ Implémenté")+COUNTIF(R98:U98,"☑ Oui")+COUNTIF(R98:U98,"◐ Partiel")+COUNTIF(R98:U98,"☐ Non implémenté")+COUNTIF(R98:U98,"☐ Non")),"")</x:f>
      </x:c>
      <x:c r="W98" s="82"/>
      <x:c r="X98" s="82"/>
      <x:c r="Y98" s="84" t="str">
        <x:f>IFERROR((COUNTIF(W98:X98,"☑ Implémenté")+COUNTIF(W98:X98,"☑ Oui")+0.5*COUNTIF(W98:X98,"◐ Partiel"))/(COUNTIF(W98:X98,"☑ Implémenté")+COUNTIF(W98:X98,"☑ Oui")+COUNTIF(W98:X98,"◐ Partiel")+COUNTIF(W98:X98,"☐ Non implémenté")+COUNTIF(W98:X98,"☐ Non")),"")</x:f>
      </x:c>
      <x:c r="Z98" s="82"/>
      <x:c r="AA98" s="82"/>
      <x:c r="AB98" s="82"/>
      <x:c r="AC98" s="82"/>
      <x:c r="AD98" s="82"/>
      <x:c r="AE98" s="82"/>
      <x:c r="AF98" s="82"/>
      <x:c r="AG98" s="84"/>
      <x:c r="AH98" s="82"/>
      <x:c r="AI98" s="82"/>
      <x:c r="AJ98" s="82"/>
      <x:c r="AK98" s="82"/>
      <x:c r="AL98" s="82"/>
      <x:c r="AM98" s="82"/>
      <x:c r="AN98" s="82"/>
      <x:c r="AO98" s="82"/>
      <x:c r="AP98" s="82"/>
      <x:c r="AQ98" s="82"/>
      <x:c r="AR98" s="82"/>
      <x:c r="AS98" s="82"/>
      <x:c r="AT98" s="82"/>
      <x:c r="AU98" s="82"/>
      <x:c r="AV98" s="82"/>
      <x:c r="AW98" s="82"/>
      <x:c r="AX98" s="82"/>
      <x:c r="AY98" s="82"/>
      <x:c r="AZ98" s="82"/>
      <x:c r="BA98" s="82"/>
      <x:c r="BB98" s="82"/>
      <x:c r="BC98" s="82"/>
      <x:c r="BD98" s="84" t="str">
        <x:f>IFERROR((COUNTIF(AZ98:BC98,"☑ Implémenté")+COUNTIF(AZ98:BC98,"☑ Oui")+0.5*COUNTIF(AZ98:BC98,"◐ Partiel"))/(COUNTIF(AZ98:BC98,"☑ Implémenté")+COUNTIF(AZ98:BC98,"☑ Oui")+COUNTIF(AZ98:BC98,"◐ Partiel")+COUNTIF(AZ98:BC98,"☐ Non implémenté")+COUNTIF(AZ98:BC98,"☐ Non")),"")</x:f>
      </x:c>
      <x:c r="BE98" s="84" t="str">
        <x:f>IFERROR((COUNTIF(H98:BD98,"☑ Implémenté")+COUNTIF(H98:BD98,"☑ Oui")+COUNTIF(H98:BD98,"DevOpsFundation")+0.5*COUNTIF(H98:BD98,"◐ Partiel"))/(COUNTIF(H98:BD98,"☑ Implémenté")+COUNTIF(H98:BD98,"☑ Oui")+COUNTIF(H98:BD98,"DevOpsFundation")+COUNTIF(H98:BD98,"◐ Partiel")+COUNTIF(H98:BD98,"☐ Non implémenté")+COUNTIF(H98:BD98,"☐ Non")),"")</x:f>
      </x:c>
      <x:c r="BF98" s="82" t="str">
        <x:f>IF(B98="","",COUNTIF(H98:BD98,"☐ Non implémenté")+COUNTIF(H98:BD98,"☐ Non")+COUNTIF(H98:BD98,"◐ Partiel"))</x:f>
      </x:c>
      <x:c r="BG98" s="82"/>
    </x:row>
    <x:row r="99">
      <x:c r="A99" s="82"/>
      <x:c r="B99" s="82"/>
      <x:c r="C99" s="82"/>
      <x:c r="D99" s="82"/>
      <x:c r="E99" s="82"/>
      <x:c r="F99" s="82"/>
      <x:c r="G99" s="82"/>
      <x:c r="H99" s="82"/>
      <x:c r="I99" s="82"/>
      <x:c r="J99" s="82"/>
      <x:c r="K99" s="82"/>
      <x:c r="L99" s="82"/>
      <x:c r="M99" s="82"/>
      <x:c r="N99" s="82"/>
      <x:c r="O99" s="82"/>
      <x:c r="P99" s="82"/>
      <x:c r="Q99" s="84" t="str">
        <x:f>IFERROR((COUNTIF(H99:P99,"☑ Implémenté")+COUNTIF(H99:P99,"☑ Oui")+0.5*COUNTIF(H99:P99,"◐ Partiel"))/(COUNTIF(H99:P99,"☑ Implémenté")+COUNTIF(H99:P99,"☑ Oui")+COUNTIF(H99:P99,"◐ Partiel")+COUNTIF(H99:P99,"☐ Non implémenté")+COUNTIF(H99:P99,"☐ Non")),"")</x:f>
      </x:c>
      <x:c r="R99" s="82"/>
      <x:c r="S99" s="82"/>
      <x:c r="T99" s="82"/>
      <x:c r="U99" s="82"/>
      <x:c r="V99" s="84" t="str">
        <x:f>IFERROR((COUNTIF(R99:U99,"☑ Implémenté")+COUNTIF(R99:U99,"☑ Oui")+0.5*COUNTIF(R99:U99,"◐ Partiel"))/(COUNTIF(R99:U99,"☑ Implémenté")+COUNTIF(R99:U99,"☑ Oui")+COUNTIF(R99:U99,"◐ Partiel")+COUNTIF(R99:U99,"☐ Non implémenté")+COUNTIF(R99:U99,"☐ Non")),"")</x:f>
      </x:c>
      <x:c r="W99" s="82"/>
      <x:c r="X99" s="82"/>
      <x:c r="Y99" s="84" t="str">
        <x:f>IFERROR((COUNTIF(W99:X99,"☑ Implémenté")+COUNTIF(W99:X99,"☑ Oui")+0.5*COUNTIF(W99:X99,"◐ Partiel"))/(COUNTIF(W99:X99,"☑ Implémenté")+COUNTIF(W99:X99,"☑ Oui")+COUNTIF(W99:X99,"◐ Partiel")+COUNTIF(W99:X99,"☐ Non implémenté")+COUNTIF(W99:X99,"☐ Non")),"")</x:f>
      </x:c>
      <x:c r="Z99" s="82"/>
      <x:c r="AA99" s="82"/>
      <x:c r="AB99" s="82"/>
      <x:c r="AC99" s="82"/>
      <x:c r="AD99" s="82"/>
      <x:c r="AE99" s="82"/>
      <x:c r="AF99" s="82"/>
      <x:c r="AG99" s="84"/>
      <x:c r="AH99" s="82"/>
      <x:c r="AI99" s="82"/>
      <x:c r="AJ99" s="82"/>
      <x:c r="AK99" s="82"/>
      <x:c r="AL99" s="82"/>
      <x:c r="AM99" s="82"/>
      <x:c r="AN99" s="82"/>
      <x:c r="AO99" s="82"/>
      <x:c r="AP99" s="82"/>
      <x:c r="AQ99" s="82"/>
      <x:c r="AR99" s="82"/>
      <x:c r="AS99" s="82"/>
      <x:c r="AT99" s="82"/>
      <x:c r="AU99" s="82"/>
      <x:c r="AV99" s="82"/>
      <x:c r="AW99" s="82"/>
      <x:c r="AX99" s="82"/>
      <x:c r="AY99" s="82"/>
      <x:c r="AZ99" s="82"/>
      <x:c r="BA99" s="82"/>
      <x:c r="BB99" s="82"/>
      <x:c r="BC99" s="82"/>
      <x:c r="BD99" s="84" t="str">
        <x:f>IFERROR((COUNTIF(AZ99:BC99,"☑ Implémenté")+COUNTIF(AZ99:BC99,"☑ Oui")+0.5*COUNTIF(AZ99:BC99,"◐ Partiel"))/(COUNTIF(AZ99:BC99,"☑ Implémenté")+COUNTIF(AZ99:BC99,"☑ Oui")+COUNTIF(AZ99:BC99,"◐ Partiel")+COUNTIF(AZ99:BC99,"☐ Non implémenté")+COUNTIF(AZ99:BC99,"☐ Non")),"")</x:f>
      </x:c>
      <x:c r="BE99" s="84" t="str">
        <x:f>IFERROR((COUNTIF(H99:BD99,"☑ Implémenté")+COUNTIF(H99:BD99,"☑ Oui")+COUNTIF(H99:BD99,"DevOpsFundation")+0.5*COUNTIF(H99:BD99,"◐ Partiel"))/(COUNTIF(H99:BD99,"☑ Implémenté")+COUNTIF(H99:BD99,"☑ Oui")+COUNTIF(H99:BD99,"DevOpsFundation")+COUNTIF(H99:BD99,"◐ Partiel")+COUNTIF(H99:BD99,"☐ Non implémenté")+COUNTIF(H99:BD99,"☐ Non")),"")</x:f>
      </x:c>
      <x:c r="BF99" s="82" t="str">
        <x:f>IF(B99="","",COUNTIF(H99:BD99,"☐ Non implémenté")+COUNTIF(H99:BD99,"☐ Non")+COUNTIF(H99:BD99,"◐ Partiel"))</x:f>
      </x:c>
      <x:c r="BG99" s="82"/>
    </x:row>
    <x:row r="100">
      <x:c r="A100" s="82"/>
      <x:c r="B100" s="82"/>
      <x:c r="C100" s="82"/>
      <x:c r="D100" s="82"/>
      <x:c r="E100" s="82"/>
      <x:c r="F100" s="82"/>
      <x:c r="G100" s="82"/>
      <x:c r="H100" s="82"/>
      <x:c r="I100" s="82"/>
      <x:c r="J100" s="82"/>
      <x:c r="K100" s="82"/>
      <x:c r="L100" s="82"/>
      <x:c r="M100" s="82"/>
      <x:c r="N100" s="82"/>
      <x:c r="O100" s="82"/>
      <x:c r="P100" s="82"/>
      <x:c r="Q100" s="84" t="str">
        <x:f>IFERROR((COUNTIF(H100:P100,"☑ Implémenté")+COUNTIF(H100:P100,"☑ Oui")+0.5*COUNTIF(H100:P100,"◐ Partiel"))/(COUNTIF(H100:P100,"☑ Implémenté")+COUNTIF(H100:P100,"☑ Oui")+COUNTIF(H100:P100,"◐ Partiel")+COUNTIF(H100:P100,"☐ Non implémenté")+COUNTIF(H100:P100,"☐ Non")),"")</x:f>
      </x:c>
      <x:c r="R100" s="82"/>
      <x:c r="S100" s="82"/>
      <x:c r="T100" s="82"/>
      <x:c r="U100" s="82"/>
      <x:c r="V100" s="84" t="str">
        <x:f>IFERROR((COUNTIF(R100:U100,"☑ Implémenté")+COUNTIF(R100:U100,"☑ Oui")+0.5*COUNTIF(R100:U100,"◐ Partiel"))/(COUNTIF(R100:U100,"☑ Implémenté")+COUNTIF(R100:U100,"☑ Oui")+COUNTIF(R100:U100,"◐ Partiel")+COUNTIF(R100:U100,"☐ Non implémenté")+COUNTIF(R100:U100,"☐ Non")),"")</x:f>
      </x:c>
      <x:c r="W100" s="82"/>
      <x:c r="X100" s="82"/>
      <x:c r="Y100" s="84" t="str">
        <x:f>IFERROR((COUNTIF(W100:X100,"☑ Implémenté")+COUNTIF(W100:X100,"☑ Oui")+0.5*COUNTIF(W100:X100,"◐ Partiel"))/(COUNTIF(W100:X100,"☑ Implémenté")+COUNTIF(W100:X100,"☑ Oui")+COUNTIF(W100:X100,"◐ Partiel")+COUNTIF(W100:X100,"☐ Non implémenté")+COUNTIF(W100:X100,"☐ Non")),"")</x:f>
      </x:c>
      <x:c r="Z100" s="82"/>
      <x:c r="AA100" s="82"/>
      <x:c r="AB100" s="82"/>
      <x:c r="AC100" s="82"/>
      <x:c r="AD100" s="82"/>
      <x:c r="AE100" s="82"/>
      <x:c r="AF100" s="82"/>
      <x:c r="AG100" s="84"/>
      <x:c r="AH100" s="82"/>
      <x:c r="AI100" s="82"/>
      <x:c r="AJ100" s="82"/>
      <x:c r="AK100" s="82"/>
      <x:c r="AL100" s="82"/>
      <x:c r="AM100" s="82"/>
      <x:c r="AN100" s="82"/>
      <x:c r="AO100" s="82"/>
      <x:c r="AP100" s="82"/>
      <x:c r="AQ100" s="82"/>
      <x:c r="AR100" s="82"/>
      <x:c r="AS100" s="82"/>
      <x:c r="AT100" s="82"/>
      <x:c r="AU100" s="82"/>
      <x:c r="AV100" s="82"/>
      <x:c r="AW100" s="82"/>
      <x:c r="AX100" s="82"/>
      <x:c r="AY100" s="82"/>
      <x:c r="AZ100" s="82"/>
      <x:c r="BA100" s="82"/>
      <x:c r="BB100" s="82"/>
      <x:c r="BC100" s="82"/>
      <x:c r="BD100" s="84" t="str">
        <x:f>IFERROR((COUNTIF(AZ100:BC100,"☑ Implémenté")+COUNTIF(AZ100:BC100,"☑ Oui")+0.5*COUNTIF(AZ100:BC100,"◐ Partiel"))/(COUNTIF(AZ100:BC100,"☑ Implémenté")+COUNTIF(AZ100:BC100,"☑ Oui")+COUNTIF(AZ100:BC100,"◐ Partiel")+COUNTIF(AZ100:BC100,"☐ Non implémenté")+COUNTIF(AZ100:BC100,"☐ Non")),"")</x:f>
      </x:c>
      <x:c r="BE100" s="84" t="str">
        <x:f>IFERROR((COUNTIF(H100:BD100,"☑ Implémenté")+COUNTIF(H100:BD100,"☑ Oui")+COUNTIF(H100:BD100,"DevOpsFundation")+0.5*COUNTIF(H100:BD100,"◐ Partiel"))/(COUNTIF(H100:BD100,"☑ Implémenté")+COUNTIF(H100:BD100,"☑ Oui")+COUNTIF(H100:BD100,"DevOpsFundation")+COUNTIF(H100:BD100,"◐ Partiel")+COUNTIF(H100:BD100,"☐ Non implémenté")+COUNTIF(H100:BD100,"☐ Non")),"")</x:f>
      </x:c>
      <x:c r="BF100" s="82" t="str">
        <x:f>IF(B100="","",COUNTIF(H100:BD100,"☐ Non implémenté")+COUNTIF(H100:BD100,"☐ Non")+COUNTIF(H100:BD100,"◐ Partiel"))</x:f>
      </x:c>
      <x:c r="BG100" s="82"/>
    </x:row>
    <x:row r="101">
      <x:c r="A101" s="82"/>
      <x:c r="B101" s="82"/>
      <x:c r="C101" s="82"/>
      <x:c r="D101" s="82"/>
      <x:c r="E101" s="82"/>
      <x:c r="F101" s="82"/>
      <x:c r="G101" s="82"/>
      <x:c r="H101" s="82"/>
      <x:c r="I101" s="82"/>
      <x:c r="J101" s="82"/>
      <x:c r="K101" s="82"/>
      <x:c r="L101" s="82"/>
      <x:c r="M101" s="82"/>
      <x:c r="N101" s="82"/>
      <x:c r="O101" s="82"/>
      <x:c r="P101" s="82"/>
      <x:c r="Q101" s="84" t="str">
        <x:f>IFERROR((COUNTIF(H101:P101,"☑ Implémenté")+COUNTIF(H101:P101,"☑ Oui")+0.5*COUNTIF(H101:P101,"◐ Partiel"))/(COUNTIF(H101:P101,"☑ Implémenté")+COUNTIF(H101:P101,"☑ Oui")+COUNTIF(H101:P101,"◐ Partiel")+COUNTIF(H101:P101,"☐ Non implémenté")+COUNTIF(H101:P101,"☐ Non")),"")</x:f>
      </x:c>
      <x:c r="R101" s="82"/>
      <x:c r="S101" s="82"/>
      <x:c r="T101" s="82"/>
      <x:c r="U101" s="82"/>
      <x:c r="V101" s="84" t="str">
        <x:f>IFERROR((COUNTIF(R101:U101,"☑ Implémenté")+COUNTIF(R101:U101,"☑ Oui")+0.5*COUNTIF(R101:U101,"◐ Partiel"))/(COUNTIF(R101:U101,"☑ Implémenté")+COUNTIF(R101:U101,"☑ Oui")+COUNTIF(R101:U101,"◐ Partiel")+COUNTIF(R101:U101,"☐ Non implémenté")+COUNTIF(R101:U101,"☐ Non")),"")</x:f>
      </x:c>
      <x:c r="W101" s="82"/>
      <x:c r="X101" s="82"/>
      <x:c r="Y101" s="84" t="str">
        <x:f>IFERROR((COUNTIF(W101:X101,"☑ Implémenté")+COUNTIF(W101:X101,"☑ Oui")+0.5*COUNTIF(W101:X101,"◐ Partiel"))/(COUNTIF(W101:X101,"☑ Implémenté")+COUNTIF(W101:X101,"☑ Oui")+COUNTIF(W101:X101,"◐ Partiel")+COUNTIF(W101:X101,"☐ Non implémenté")+COUNTIF(W101:X101,"☐ Non")),"")</x:f>
      </x:c>
      <x:c r="Z101" s="82"/>
      <x:c r="AA101" s="82"/>
      <x:c r="AB101" s="82"/>
      <x:c r="AC101" s="82"/>
      <x:c r="AD101" s="82"/>
      <x:c r="AE101" s="82"/>
      <x:c r="AF101" s="82"/>
      <x:c r="AG101" s="84"/>
      <x:c r="AH101" s="82"/>
      <x:c r="AI101" s="82"/>
      <x:c r="AJ101" s="82"/>
      <x:c r="AK101" s="82"/>
      <x:c r="AL101" s="82"/>
      <x:c r="AM101" s="82"/>
      <x:c r="AN101" s="82"/>
      <x:c r="AO101" s="82"/>
      <x:c r="AP101" s="82"/>
      <x:c r="AQ101" s="82"/>
      <x:c r="AR101" s="82"/>
      <x:c r="AS101" s="82"/>
      <x:c r="AT101" s="82"/>
      <x:c r="AU101" s="82"/>
      <x:c r="AV101" s="82"/>
      <x:c r="AW101" s="82"/>
      <x:c r="AX101" s="82"/>
      <x:c r="AY101" s="82"/>
      <x:c r="AZ101" s="82"/>
      <x:c r="BA101" s="82"/>
      <x:c r="BB101" s="82"/>
      <x:c r="BC101" s="82"/>
      <x:c r="BD101" s="84" t="str">
        <x:f>IFERROR((COUNTIF(AZ101:BC101,"☑ Implémenté")+COUNTIF(AZ101:BC101,"☑ Oui")+0.5*COUNTIF(AZ101:BC101,"◐ Partiel"))/(COUNTIF(AZ101:BC101,"☑ Implémenté")+COUNTIF(AZ101:BC101,"☑ Oui")+COUNTIF(AZ101:BC101,"◐ Partiel")+COUNTIF(AZ101:BC101,"☐ Non implémenté")+COUNTIF(AZ101:BC101,"☐ Non")),"")</x:f>
      </x:c>
      <x:c r="BE101" s="84" t="str">
        <x:f>IFERROR((COUNTIF(H101:BD101,"☑ Implémenté")+COUNTIF(H101:BD101,"☑ Oui")+COUNTIF(H101:BD101,"DevOpsFundation")+0.5*COUNTIF(H101:BD101,"◐ Partiel"))/(COUNTIF(H101:BD101,"☑ Implémenté")+COUNTIF(H101:BD101,"☑ Oui")+COUNTIF(H101:BD101,"DevOpsFundation")+COUNTIF(H101:BD101,"◐ Partiel")+COUNTIF(H101:BD101,"☐ Non implémenté")+COUNTIF(H101:BD101,"☐ Non")),"")</x:f>
      </x:c>
      <x:c r="BF101" s="82" t="str">
        <x:f>IF(B101="","",COUNTIF(H101:BD101,"☐ Non implémenté")+COUNTIF(H101:BD101,"☐ Non")+COUNTIF(H101:BD101,"◐ Partiel"))</x:f>
      </x:c>
      <x:c r="BG101" s="82"/>
    </x:row>
    <x:row r="102">
      <x:c r="A102" s="82"/>
      <x:c r="B102" s="82"/>
      <x:c r="C102" s="82"/>
      <x:c r="D102" s="82"/>
      <x:c r="E102" s="82"/>
      <x:c r="F102" s="82"/>
      <x:c r="G102" s="82"/>
      <x:c r="H102" s="82"/>
      <x:c r="I102" s="82"/>
      <x:c r="J102" s="82"/>
      <x:c r="K102" s="82"/>
      <x:c r="L102" s="82"/>
      <x:c r="M102" s="82"/>
      <x:c r="N102" s="82"/>
      <x:c r="O102" s="82"/>
      <x:c r="P102" s="82"/>
      <x:c r="Q102" s="84" t="str">
        <x:f>IFERROR((COUNTIF(H102:P102,"☑ Implémenté")+COUNTIF(H102:P102,"☑ Oui")+0.5*COUNTIF(H102:P102,"◐ Partiel"))/(COUNTIF(H102:P102,"☑ Implémenté")+COUNTIF(H102:P102,"☑ Oui")+COUNTIF(H102:P102,"◐ Partiel")+COUNTIF(H102:P102,"☐ Non implémenté")+COUNTIF(H102:P102,"☐ Non")),"")</x:f>
      </x:c>
      <x:c r="R102" s="82"/>
      <x:c r="S102" s="82"/>
      <x:c r="T102" s="82"/>
      <x:c r="U102" s="82"/>
      <x:c r="V102" s="84" t="str">
        <x:f>IFERROR((COUNTIF(R102:U102,"☑ Implémenté")+COUNTIF(R102:U102,"☑ Oui")+0.5*COUNTIF(R102:U102,"◐ Partiel"))/(COUNTIF(R102:U102,"☑ Implémenté")+COUNTIF(R102:U102,"☑ Oui")+COUNTIF(R102:U102,"◐ Partiel")+COUNTIF(R102:U102,"☐ Non implémenté")+COUNTIF(R102:U102,"☐ Non")),"")</x:f>
      </x:c>
      <x:c r="W102" s="82"/>
      <x:c r="X102" s="82"/>
      <x:c r="Y102" s="84" t="str">
        <x:f>IFERROR((COUNTIF(W102:X102,"☑ Implémenté")+COUNTIF(W102:X102,"☑ Oui")+0.5*COUNTIF(W102:X102,"◐ Partiel"))/(COUNTIF(W102:X102,"☑ Implémenté")+COUNTIF(W102:X102,"☑ Oui")+COUNTIF(W102:X102,"◐ Partiel")+COUNTIF(W102:X102,"☐ Non implémenté")+COUNTIF(W102:X102,"☐ Non")),"")</x:f>
      </x:c>
      <x:c r="Z102" s="82"/>
      <x:c r="AA102" s="82"/>
      <x:c r="AB102" s="82"/>
      <x:c r="AC102" s="82"/>
      <x:c r="AD102" s="82"/>
      <x:c r="AE102" s="82"/>
      <x:c r="AF102" s="82"/>
      <x:c r="AG102" s="84"/>
      <x:c r="AH102" s="82"/>
      <x:c r="AI102" s="82"/>
      <x:c r="AJ102" s="82"/>
      <x:c r="AK102" s="82"/>
      <x:c r="AL102" s="82"/>
      <x:c r="AM102" s="82"/>
      <x:c r="AN102" s="82"/>
      <x:c r="AO102" s="82"/>
      <x:c r="AP102" s="82"/>
      <x:c r="AQ102" s="82"/>
      <x:c r="AR102" s="82"/>
      <x:c r="AS102" s="82"/>
      <x:c r="AT102" s="82"/>
      <x:c r="AU102" s="82"/>
      <x:c r="AV102" s="82"/>
      <x:c r="AW102" s="82"/>
      <x:c r="AX102" s="82"/>
      <x:c r="AY102" s="82"/>
      <x:c r="AZ102" s="82"/>
      <x:c r="BA102" s="82"/>
      <x:c r="BB102" s="82"/>
      <x:c r="BC102" s="82"/>
      <x:c r="BD102" s="84" t="str">
        <x:f>IFERROR((COUNTIF(AZ102:BC102,"☑ Implémenté")+COUNTIF(AZ102:BC102,"☑ Oui")+0.5*COUNTIF(AZ102:BC102,"◐ Partiel"))/(COUNTIF(AZ102:BC102,"☑ Implémenté")+COUNTIF(AZ102:BC102,"☑ Oui")+COUNTIF(AZ102:BC102,"◐ Partiel")+COUNTIF(AZ102:BC102,"☐ Non implémenté")+COUNTIF(AZ102:BC102,"☐ Non")),"")</x:f>
      </x:c>
      <x:c r="BE102" s="84" t="str">
        <x:f>IFERROR((COUNTIF(H102:BD102,"☑ Implémenté")+COUNTIF(H102:BD102,"☑ Oui")+COUNTIF(H102:BD102,"DevOpsFundation")+0.5*COUNTIF(H102:BD102,"◐ Partiel"))/(COUNTIF(H102:BD102,"☑ Implémenté")+COUNTIF(H102:BD102,"☑ Oui")+COUNTIF(H102:BD102,"DevOpsFundation")+COUNTIF(H102:BD102,"◐ Partiel")+COUNTIF(H102:BD102,"☐ Non implémenté")+COUNTIF(H102:BD102,"☐ Non")),"")</x:f>
      </x:c>
      <x:c r="BF102" s="82" t="str">
        <x:f>IF(B102="","",COUNTIF(H102:BD102,"☐ Non implémenté")+COUNTIF(H102:BD102,"☐ Non")+COUNTIF(H102:BD102,"◐ Partiel"))</x:f>
      </x:c>
      <x:c r="BG102" s="82"/>
    </x:row>
    <x:row r="103">
      <x:c r="A103" s="82"/>
      <x:c r="B103" s="82"/>
      <x:c r="C103" s="82"/>
      <x:c r="D103" s="82"/>
      <x:c r="E103" s="82"/>
      <x:c r="F103" s="82"/>
      <x:c r="G103" s="82"/>
      <x:c r="H103" s="82"/>
      <x:c r="I103" s="82"/>
      <x:c r="J103" s="82"/>
      <x:c r="K103" s="82"/>
      <x:c r="L103" s="82"/>
      <x:c r="M103" s="82"/>
      <x:c r="N103" s="82"/>
      <x:c r="O103" s="82"/>
      <x:c r="P103" s="82"/>
      <x:c r="Q103" s="84" t="str">
        <x:f>IFERROR((COUNTIF(H103:P103,"☑ Implémenté")+COUNTIF(H103:P103,"☑ Oui")+0.5*COUNTIF(H103:P103,"◐ Partiel"))/(COUNTIF(H103:P103,"☑ Implémenté")+COUNTIF(H103:P103,"☑ Oui")+COUNTIF(H103:P103,"◐ Partiel")+COUNTIF(H103:P103,"☐ Non implémenté")+COUNTIF(H103:P103,"☐ Non")),"")</x:f>
      </x:c>
      <x:c r="R103" s="82"/>
      <x:c r="S103" s="82"/>
      <x:c r="T103" s="82"/>
      <x:c r="U103" s="82"/>
      <x:c r="V103" s="84" t="str">
        <x:f>IFERROR((COUNTIF(R103:U103,"☑ Implémenté")+COUNTIF(R103:U103,"☑ Oui")+0.5*COUNTIF(R103:U103,"◐ Partiel"))/(COUNTIF(R103:U103,"☑ Implémenté")+COUNTIF(R103:U103,"☑ Oui")+COUNTIF(R103:U103,"◐ Partiel")+COUNTIF(R103:U103,"☐ Non implémenté")+COUNTIF(R103:U103,"☐ Non")),"")</x:f>
      </x:c>
      <x:c r="W103" s="82"/>
      <x:c r="X103" s="82"/>
      <x:c r="Y103" s="84" t="str">
        <x:f>IFERROR((COUNTIF(W103:X103,"☑ Implémenté")+COUNTIF(W103:X103,"☑ Oui")+0.5*COUNTIF(W103:X103,"◐ Partiel"))/(COUNTIF(W103:X103,"☑ Implémenté")+COUNTIF(W103:X103,"☑ Oui")+COUNTIF(W103:X103,"◐ Partiel")+COUNTIF(W103:X103,"☐ Non implémenté")+COUNTIF(W103:X103,"☐ Non")),"")</x:f>
      </x:c>
      <x:c r="Z103" s="82"/>
      <x:c r="AA103" s="82"/>
      <x:c r="AB103" s="82"/>
      <x:c r="AC103" s="82"/>
      <x:c r="AD103" s="82"/>
      <x:c r="AE103" s="82"/>
      <x:c r="AF103" s="82"/>
      <x:c r="AG103" s="84"/>
      <x:c r="AH103" s="82"/>
      <x:c r="AI103" s="82"/>
      <x:c r="AJ103" s="82"/>
      <x:c r="AK103" s="82"/>
      <x:c r="AL103" s="82"/>
      <x:c r="AM103" s="82"/>
      <x:c r="AN103" s="82"/>
      <x:c r="AO103" s="82"/>
      <x:c r="AP103" s="82"/>
      <x:c r="AQ103" s="82"/>
      <x:c r="AR103" s="82"/>
      <x:c r="AS103" s="82"/>
      <x:c r="AT103" s="82"/>
      <x:c r="AU103" s="82"/>
      <x:c r="AV103" s="82"/>
      <x:c r="AW103" s="82"/>
      <x:c r="AX103" s="82"/>
      <x:c r="AY103" s="82"/>
      <x:c r="AZ103" s="82"/>
      <x:c r="BA103" s="82"/>
      <x:c r="BB103" s="82"/>
      <x:c r="BC103" s="82"/>
      <x:c r="BD103" s="84" t="str">
        <x:f>IFERROR((COUNTIF(AZ103:BC103,"☑ Implémenté")+COUNTIF(AZ103:BC103,"☑ Oui")+0.5*COUNTIF(AZ103:BC103,"◐ Partiel"))/(COUNTIF(AZ103:BC103,"☑ Implémenté")+COUNTIF(AZ103:BC103,"☑ Oui")+COUNTIF(AZ103:BC103,"◐ Partiel")+COUNTIF(AZ103:BC103,"☐ Non implémenté")+COUNTIF(AZ103:BC103,"☐ Non")),"")</x:f>
      </x:c>
      <x:c r="BE103" s="84" t="str">
        <x:f>IFERROR((COUNTIF(H103:BD103,"☑ Implémenté")+COUNTIF(H103:BD103,"☑ Oui")+COUNTIF(H103:BD103,"DevOpsFundation")+0.5*COUNTIF(H103:BD103,"◐ Partiel"))/(COUNTIF(H103:BD103,"☑ Implémenté")+COUNTIF(H103:BD103,"☑ Oui")+COUNTIF(H103:BD103,"DevOpsFundation")+COUNTIF(H103:BD103,"◐ Partiel")+COUNTIF(H103:BD103,"☐ Non implémenté")+COUNTIF(H103:BD103,"☐ Non")),"")</x:f>
      </x:c>
      <x:c r="BF103" s="82" t="str">
        <x:f>IF(B103="","",COUNTIF(H103:BD103,"☐ Non implémenté")+COUNTIF(H103:BD103,"☐ Non")+COUNTIF(H103:BD103,"◐ Partiel"))</x:f>
      </x:c>
      <x:c r="BG103" s="82"/>
    </x:row>
    <x:row r="104">
      <x:c r="A104" s="82"/>
      <x:c r="B104" s="82"/>
      <x:c r="C104" s="82"/>
      <x:c r="D104" s="82"/>
      <x:c r="E104" s="82"/>
      <x:c r="F104" s="82"/>
      <x:c r="G104" s="82"/>
      <x:c r="H104" s="82"/>
      <x:c r="I104" s="82"/>
      <x:c r="J104" s="82"/>
      <x:c r="K104" s="82"/>
      <x:c r="L104" s="82"/>
      <x:c r="M104" s="82"/>
      <x:c r="N104" s="82"/>
      <x:c r="O104" s="82"/>
      <x:c r="P104" s="82"/>
      <x:c r="Q104" s="84" t="str">
        <x:f>IFERROR((COUNTIF(H104:P104,"☑ Implémenté")+COUNTIF(H104:P104,"☑ Oui")+0.5*COUNTIF(H104:P104,"◐ Partiel"))/(COUNTIF(H104:P104,"☑ Implémenté")+COUNTIF(H104:P104,"☑ Oui")+COUNTIF(H104:P104,"◐ Partiel")+COUNTIF(H104:P104,"☐ Non implémenté")+COUNTIF(H104:P104,"☐ Non")),"")</x:f>
      </x:c>
      <x:c r="R104" s="82"/>
      <x:c r="S104" s="82"/>
      <x:c r="T104" s="82"/>
      <x:c r="U104" s="82"/>
      <x:c r="V104" s="84" t="str">
        <x:f>IFERROR((COUNTIF(R104:U104,"☑ Implémenté")+COUNTIF(R104:U104,"☑ Oui")+0.5*COUNTIF(R104:U104,"◐ Partiel"))/(COUNTIF(R104:U104,"☑ Implémenté")+COUNTIF(R104:U104,"☑ Oui")+COUNTIF(R104:U104,"◐ Partiel")+COUNTIF(R104:U104,"☐ Non implémenté")+COUNTIF(R104:U104,"☐ Non")),"")</x:f>
      </x:c>
      <x:c r="W104" s="82"/>
      <x:c r="X104" s="82"/>
      <x:c r="Y104" s="84" t="str">
        <x:f>IFERROR((COUNTIF(W104:X104,"☑ Implémenté")+COUNTIF(W104:X104,"☑ Oui")+0.5*COUNTIF(W104:X104,"◐ Partiel"))/(COUNTIF(W104:X104,"☑ Implémenté")+COUNTIF(W104:X104,"☑ Oui")+COUNTIF(W104:X104,"◐ Partiel")+COUNTIF(W104:X104,"☐ Non implémenté")+COUNTIF(W104:X104,"☐ Non")),"")</x:f>
      </x:c>
      <x:c r="Z104" s="82"/>
      <x:c r="AA104" s="82"/>
      <x:c r="AB104" s="82"/>
      <x:c r="AC104" s="82"/>
      <x:c r="AD104" s="82"/>
      <x:c r="AE104" s="82"/>
      <x:c r="AF104" s="82"/>
      <x:c r="AG104" s="84"/>
      <x:c r="AH104" s="82"/>
      <x:c r="AI104" s="82"/>
      <x:c r="AJ104" s="82"/>
      <x:c r="AK104" s="82"/>
      <x:c r="AL104" s="82"/>
      <x:c r="AM104" s="82"/>
      <x:c r="AN104" s="82"/>
      <x:c r="AO104" s="82"/>
      <x:c r="AP104" s="82"/>
      <x:c r="AQ104" s="82"/>
      <x:c r="AR104" s="82"/>
      <x:c r="AS104" s="82"/>
      <x:c r="AT104" s="82"/>
      <x:c r="AU104" s="82"/>
      <x:c r="AV104" s="82"/>
      <x:c r="AW104" s="82"/>
      <x:c r="AX104" s="82"/>
      <x:c r="AY104" s="82"/>
      <x:c r="AZ104" s="82"/>
      <x:c r="BA104" s="82"/>
      <x:c r="BB104" s="82"/>
      <x:c r="BC104" s="82"/>
      <x:c r="BD104" s="84" t="str">
        <x:f>IFERROR((COUNTIF(AZ104:BC104,"☑ Implémenté")+COUNTIF(AZ104:BC104,"☑ Oui")+0.5*COUNTIF(AZ104:BC104,"◐ Partiel"))/(COUNTIF(AZ104:BC104,"☑ Implémenté")+COUNTIF(AZ104:BC104,"☑ Oui")+COUNTIF(AZ104:BC104,"◐ Partiel")+COUNTIF(AZ104:BC104,"☐ Non implémenté")+COUNTIF(AZ104:BC104,"☐ Non")),"")</x:f>
      </x:c>
      <x:c r="BE104" s="84" t="str">
        <x:f>IFERROR((COUNTIF(H104:BD104,"☑ Implémenté")+COUNTIF(H104:BD104,"☑ Oui")+COUNTIF(H104:BD104,"DevOpsFundation")+0.5*COUNTIF(H104:BD104,"◐ Partiel"))/(COUNTIF(H104:BD104,"☑ Implémenté")+COUNTIF(H104:BD104,"☑ Oui")+COUNTIF(H104:BD104,"DevOpsFundation")+COUNTIF(H104:BD104,"◐ Partiel")+COUNTIF(H104:BD104,"☐ Non implémenté")+COUNTIF(H104:BD104,"☐ Non")),"")</x:f>
      </x:c>
      <x:c r="BF104" s="82" t="str">
        <x:f>IF(B104="","",COUNTIF(H104:BD104,"☐ Non implémenté")+COUNTIF(H104:BD104,"☐ Non")+COUNTIF(H104:BD104,"◐ Partiel"))</x:f>
      </x:c>
      <x:c r="BG104" s="82"/>
    </x:row>
    <x:row r="105">
      <x:c r="A105" s="82"/>
      <x:c r="B105" s="82"/>
      <x:c r="C105" s="82"/>
      <x:c r="D105" s="82"/>
      <x:c r="E105" s="82"/>
      <x:c r="F105" s="82"/>
      <x:c r="G105" s="82"/>
      <x:c r="H105" s="82"/>
      <x:c r="I105" s="82"/>
      <x:c r="J105" s="82"/>
      <x:c r="K105" s="82"/>
      <x:c r="L105" s="82"/>
      <x:c r="M105" s="82"/>
      <x:c r="N105" s="82"/>
      <x:c r="O105" s="82"/>
      <x:c r="P105" s="82"/>
      <x:c r="Q105" s="84" t="str">
        <x:f>IFERROR((COUNTIF(H105:P105,"☑ Implémenté")+COUNTIF(H105:P105,"☑ Oui")+0.5*COUNTIF(H105:P105,"◐ Partiel"))/(COUNTIF(H105:P105,"☑ Implémenté")+COUNTIF(H105:P105,"☑ Oui")+COUNTIF(H105:P105,"◐ Partiel")+COUNTIF(H105:P105,"☐ Non implémenté")+COUNTIF(H105:P105,"☐ Non")),"")</x:f>
      </x:c>
      <x:c r="R105" s="82"/>
      <x:c r="S105" s="82"/>
      <x:c r="T105" s="82"/>
      <x:c r="U105" s="82"/>
      <x:c r="V105" s="84" t="str">
        <x:f>IFERROR((COUNTIF(R105:U105,"☑ Implémenté")+COUNTIF(R105:U105,"☑ Oui")+0.5*COUNTIF(R105:U105,"◐ Partiel"))/(COUNTIF(R105:U105,"☑ Implémenté")+COUNTIF(R105:U105,"☑ Oui")+COUNTIF(R105:U105,"◐ Partiel")+COUNTIF(R105:U105,"☐ Non implémenté")+COUNTIF(R105:U105,"☐ Non")),"")</x:f>
      </x:c>
      <x:c r="W105" s="82"/>
      <x:c r="X105" s="82"/>
      <x:c r="Y105" s="84" t="str">
        <x:f>IFERROR((COUNTIF(W105:X105,"☑ Implémenté")+COUNTIF(W105:X105,"☑ Oui")+0.5*COUNTIF(W105:X105,"◐ Partiel"))/(COUNTIF(W105:X105,"☑ Implémenté")+COUNTIF(W105:X105,"☑ Oui")+COUNTIF(W105:X105,"◐ Partiel")+COUNTIF(W105:X105,"☐ Non implémenté")+COUNTIF(W105:X105,"☐ Non")),"")</x:f>
      </x:c>
      <x:c r="Z105" s="82"/>
      <x:c r="AA105" s="82"/>
      <x:c r="AB105" s="82"/>
      <x:c r="AC105" s="82"/>
      <x:c r="AD105" s="82"/>
      <x:c r="AE105" s="82"/>
      <x:c r="AF105" s="82"/>
      <x:c r="AG105" s="84"/>
      <x:c r="AH105" s="82"/>
      <x:c r="AI105" s="82"/>
      <x:c r="AJ105" s="82"/>
      <x:c r="AK105" s="82"/>
      <x:c r="AL105" s="82"/>
      <x:c r="AM105" s="82"/>
      <x:c r="AN105" s="82"/>
      <x:c r="AO105" s="82"/>
      <x:c r="AP105" s="82"/>
      <x:c r="AQ105" s="82"/>
      <x:c r="AR105" s="82"/>
      <x:c r="AS105" s="82"/>
      <x:c r="AT105" s="82"/>
      <x:c r="AU105" s="82"/>
      <x:c r="AV105" s="82"/>
      <x:c r="AW105" s="82"/>
      <x:c r="AX105" s="82"/>
      <x:c r="AY105" s="82"/>
      <x:c r="AZ105" s="82"/>
      <x:c r="BA105" s="82"/>
      <x:c r="BB105" s="82"/>
      <x:c r="BC105" s="82"/>
      <x:c r="BD105" s="84" t="str">
        <x:f>IFERROR((COUNTIF(AZ105:BC105,"☑ Implémenté")+COUNTIF(AZ105:BC105,"☑ Oui")+0.5*COUNTIF(AZ105:BC105,"◐ Partiel"))/(COUNTIF(AZ105:BC105,"☑ Implémenté")+COUNTIF(AZ105:BC105,"☑ Oui")+COUNTIF(AZ105:BC105,"◐ Partiel")+COUNTIF(AZ105:BC105,"☐ Non implémenté")+COUNTIF(AZ105:BC105,"☐ Non")),"")</x:f>
      </x:c>
      <x:c r="BE105" s="84" t="str">
        <x:f>IFERROR((COUNTIF(H105:BD105,"☑ Implémenté")+COUNTIF(H105:BD105,"☑ Oui")+COUNTIF(H105:BD105,"DevOpsFundation")+0.5*COUNTIF(H105:BD105,"◐ Partiel"))/(COUNTIF(H105:BD105,"☑ Implémenté")+COUNTIF(H105:BD105,"☑ Oui")+COUNTIF(H105:BD105,"DevOpsFundation")+COUNTIF(H105:BD105,"◐ Partiel")+COUNTIF(H105:BD105,"☐ Non implémenté")+COUNTIF(H105:BD105,"☐ Non")),"")</x:f>
      </x:c>
      <x:c r="BF105" s="82" t="str">
        <x:f>IF(B105="","",COUNTIF(H105:BD105,"☐ Non implémenté")+COUNTIF(H105:BD105,"☐ Non")+COUNTIF(H105:BD105,"◐ Partiel"))</x:f>
      </x:c>
      <x:c r="BG105" s="82"/>
    </x:row>
    <x:row r="106">
      <x:c r="A106" s="82"/>
      <x:c r="B106" s="82"/>
      <x:c r="C106" s="82"/>
      <x:c r="D106" s="82"/>
      <x:c r="E106" s="82"/>
      <x:c r="F106" s="82"/>
      <x:c r="G106" s="82"/>
      <x:c r="H106" s="82"/>
      <x:c r="I106" s="82"/>
      <x:c r="J106" s="82"/>
      <x:c r="K106" s="82"/>
      <x:c r="L106" s="82"/>
      <x:c r="M106" s="82"/>
      <x:c r="N106" s="82"/>
      <x:c r="O106" s="82"/>
      <x:c r="P106" s="82"/>
      <x:c r="Q106" s="84" t="str">
        <x:f>IFERROR((COUNTIF(H106:P106,"☑ Implémenté")+COUNTIF(H106:P106,"☑ Oui")+0.5*COUNTIF(H106:P106,"◐ Partiel"))/(COUNTIF(H106:P106,"☑ Implémenté")+COUNTIF(H106:P106,"☑ Oui")+COUNTIF(H106:P106,"◐ Partiel")+COUNTIF(H106:P106,"☐ Non implémenté")+COUNTIF(H106:P106,"☐ Non")),"")</x:f>
      </x:c>
      <x:c r="R106" s="82"/>
      <x:c r="S106" s="82"/>
      <x:c r="T106" s="82"/>
      <x:c r="U106" s="82"/>
      <x:c r="V106" s="84" t="str">
        <x:f>IFERROR((COUNTIF(R106:U106,"☑ Implémenté")+COUNTIF(R106:U106,"☑ Oui")+0.5*COUNTIF(R106:U106,"◐ Partiel"))/(COUNTIF(R106:U106,"☑ Implémenté")+COUNTIF(R106:U106,"☑ Oui")+COUNTIF(R106:U106,"◐ Partiel")+COUNTIF(R106:U106,"☐ Non implémenté")+COUNTIF(R106:U106,"☐ Non")),"")</x:f>
      </x:c>
      <x:c r="W106" s="82"/>
      <x:c r="X106" s="82"/>
      <x:c r="Y106" s="84" t="str">
        <x:f>IFERROR((COUNTIF(W106:X106,"☑ Implémenté")+COUNTIF(W106:X106,"☑ Oui")+0.5*COUNTIF(W106:X106,"◐ Partiel"))/(COUNTIF(W106:X106,"☑ Implémenté")+COUNTIF(W106:X106,"☑ Oui")+COUNTIF(W106:X106,"◐ Partiel")+COUNTIF(W106:X106,"☐ Non implémenté")+COUNTIF(W106:X106,"☐ Non")),"")</x:f>
      </x:c>
      <x:c r="Z106" s="82"/>
      <x:c r="AA106" s="82"/>
      <x:c r="AB106" s="82"/>
      <x:c r="AC106" s="82"/>
      <x:c r="AD106" s="82"/>
      <x:c r="AE106" s="82"/>
      <x:c r="AF106" s="82"/>
      <x:c r="AG106" s="84"/>
      <x:c r="AH106" s="82"/>
      <x:c r="AI106" s="82"/>
      <x:c r="AJ106" s="82"/>
      <x:c r="AK106" s="82"/>
      <x:c r="AL106" s="82"/>
      <x:c r="AM106" s="82"/>
      <x:c r="AN106" s="82"/>
      <x:c r="AO106" s="82"/>
      <x:c r="AP106" s="82"/>
      <x:c r="AQ106" s="82"/>
      <x:c r="AR106" s="82"/>
      <x:c r="AS106" s="82"/>
      <x:c r="AT106" s="82"/>
      <x:c r="AU106" s="82"/>
      <x:c r="AV106" s="82"/>
      <x:c r="AW106" s="82"/>
      <x:c r="AX106" s="82"/>
      <x:c r="AY106" s="82"/>
      <x:c r="AZ106" s="82"/>
      <x:c r="BA106" s="82"/>
      <x:c r="BB106" s="82"/>
      <x:c r="BC106" s="82"/>
      <x:c r="BD106" s="84" t="str">
        <x:f>IFERROR((COUNTIF(AZ106:BC106,"☑ Implémenté")+COUNTIF(AZ106:BC106,"☑ Oui")+0.5*COUNTIF(AZ106:BC106,"◐ Partiel"))/(COUNTIF(AZ106:BC106,"☑ Implémenté")+COUNTIF(AZ106:BC106,"☑ Oui")+COUNTIF(AZ106:BC106,"◐ Partiel")+COUNTIF(AZ106:BC106,"☐ Non implémenté")+COUNTIF(AZ106:BC106,"☐ Non")),"")</x:f>
      </x:c>
      <x:c r="BE106" s="84" t="str">
        <x:f>IFERROR((COUNTIF(H106:BD106,"☑ Implémenté")+COUNTIF(H106:BD106,"☑ Oui")+COUNTIF(H106:BD106,"DevOpsFundation")+0.5*COUNTIF(H106:BD106,"◐ Partiel"))/(COUNTIF(H106:BD106,"☑ Implémenté")+COUNTIF(H106:BD106,"☑ Oui")+COUNTIF(H106:BD106,"DevOpsFundation")+COUNTIF(H106:BD106,"◐ Partiel")+COUNTIF(H106:BD106,"☐ Non implémenté")+COUNTIF(H106:BD106,"☐ Non")),"")</x:f>
      </x:c>
      <x:c r="BF106" s="82" t="str">
        <x:f>IF(B106="","",COUNTIF(H106:BD106,"☐ Non implémenté")+COUNTIF(H106:BD106,"☐ Non")+COUNTIF(H106:BD106,"◐ Partiel"))</x:f>
      </x:c>
      <x:c r="BG106" s="82"/>
    </x:row>
    <x:row r="107">
      <x:c r="A107" s="82"/>
      <x:c r="B107" s="82"/>
      <x:c r="C107" s="82"/>
      <x:c r="D107" s="82"/>
      <x:c r="E107" s="82"/>
      <x:c r="F107" s="82"/>
      <x:c r="G107" s="82"/>
      <x:c r="H107" s="82"/>
      <x:c r="I107" s="82"/>
      <x:c r="J107" s="82"/>
      <x:c r="K107" s="82"/>
      <x:c r="L107" s="82"/>
      <x:c r="M107" s="82"/>
      <x:c r="N107" s="82"/>
      <x:c r="O107" s="82"/>
      <x:c r="P107" s="82"/>
      <x:c r="Q107" s="84" t="str">
        <x:f>IFERROR((COUNTIF(H107:P107,"☑ Implémenté")+COUNTIF(H107:P107,"☑ Oui")+0.5*COUNTIF(H107:P107,"◐ Partiel"))/(COUNTIF(H107:P107,"☑ Implémenté")+COUNTIF(H107:P107,"☑ Oui")+COUNTIF(H107:P107,"◐ Partiel")+COUNTIF(H107:P107,"☐ Non implémenté")+COUNTIF(H107:P107,"☐ Non")),"")</x:f>
      </x:c>
      <x:c r="R107" s="82"/>
      <x:c r="S107" s="82"/>
      <x:c r="T107" s="82"/>
      <x:c r="U107" s="82"/>
      <x:c r="V107" s="84" t="str">
        <x:f>IFERROR((COUNTIF(R107:U107,"☑ Implémenté")+COUNTIF(R107:U107,"☑ Oui")+0.5*COUNTIF(R107:U107,"◐ Partiel"))/(COUNTIF(R107:U107,"☑ Implémenté")+COUNTIF(R107:U107,"☑ Oui")+COUNTIF(R107:U107,"◐ Partiel")+COUNTIF(R107:U107,"☐ Non implémenté")+COUNTIF(R107:U107,"☐ Non")),"")</x:f>
      </x:c>
      <x:c r="W107" s="82"/>
      <x:c r="X107" s="82"/>
      <x:c r="Y107" s="84" t="str">
        <x:f>IFERROR((COUNTIF(W107:X107,"☑ Implémenté")+COUNTIF(W107:X107,"☑ Oui")+0.5*COUNTIF(W107:X107,"◐ Partiel"))/(COUNTIF(W107:X107,"☑ Implémenté")+COUNTIF(W107:X107,"☑ Oui")+COUNTIF(W107:X107,"◐ Partiel")+COUNTIF(W107:X107,"☐ Non implémenté")+COUNTIF(W107:X107,"☐ Non")),"")</x:f>
      </x:c>
      <x:c r="Z107" s="82"/>
      <x:c r="AA107" s="82"/>
      <x:c r="AB107" s="82"/>
      <x:c r="AC107" s="82"/>
      <x:c r="AD107" s="82"/>
      <x:c r="AE107" s="82"/>
      <x:c r="AF107" s="82"/>
      <x:c r="AG107" s="84"/>
      <x:c r="AH107" s="82"/>
      <x:c r="AI107" s="82"/>
      <x:c r="AJ107" s="82"/>
      <x:c r="AK107" s="82"/>
      <x:c r="AL107" s="82"/>
      <x:c r="AM107" s="82"/>
      <x:c r="AN107" s="82"/>
      <x:c r="AO107" s="82"/>
      <x:c r="AP107" s="82"/>
      <x:c r="AQ107" s="82"/>
      <x:c r="AR107" s="82"/>
      <x:c r="AS107" s="82"/>
      <x:c r="AT107" s="82"/>
      <x:c r="AU107" s="82"/>
      <x:c r="AV107" s="82"/>
      <x:c r="AW107" s="82"/>
      <x:c r="AX107" s="82"/>
      <x:c r="AY107" s="82"/>
      <x:c r="AZ107" s="82"/>
      <x:c r="BA107" s="82"/>
      <x:c r="BB107" s="82"/>
      <x:c r="BC107" s="82"/>
      <x:c r="BD107" s="84" t="str">
        <x:f>IFERROR((COUNTIF(AZ107:BC107,"☑ Implémenté")+COUNTIF(AZ107:BC107,"☑ Oui")+0.5*COUNTIF(AZ107:BC107,"◐ Partiel"))/(COUNTIF(AZ107:BC107,"☑ Implémenté")+COUNTIF(AZ107:BC107,"☑ Oui")+COUNTIF(AZ107:BC107,"◐ Partiel")+COUNTIF(AZ107:BC107,"☐ Non implémenté")+COUNTIF(AZ107:BC107,"☐ Non")),"")</x:f>
      </x:c>
      <x:c r="BE107" s="84" t="str">
        <x:f>IFERROR((COUNTIF(H107:BD107,"☑ Implémenté")+COUNTIF(H107:BD107,"☑ Oui")+COUNTIF(H107:BD107,"DevOpsFundation")+0.5*COUNTIF(H107:BD107,"◐ Partiel"))/(COUNTIF(H107:BD107,"☑ Implémenté")+COUNTIF(H107:BD107,"☑ Oui")+COUNTIF(H107:BD107,"DevOpsFundation")+COUNTIF(H107:BD107,"◐ Partiel")+COUNTIF(H107:BD107,"☐ Non implémenté")+COUNTIF(H107:BD107,"☐ Non")),"")</x:f>
      </x:c>
      <x:c r="BF107" s="82" t="str">
        <x:f>IF(B107="","",COUNTIF(H107:BD107,"☐ Non implémenté")+COUNTIF(H107:BD107,"☐ Non")+COUNTIF(H107:BD107,"◐ Partiel"))</x:f>
      </x:c>
      <x:c r="BG107" s="82"/>
    </x:row>
    <x:row r="108">
      <x:c r="A108" s="82"/>
      <x:c r="B108" s="82"/>
      <x:c r="C108" s="82"/>
      <x:c r="D108" s="82"/>
      <x:c r="E108" s="82"/>
      <x:c r="F108" s="82"/>
      <x:c r="G108" s="82"/>
      <x:c r="H108" s="82"/>
      <x:c r="I108" s="82"/>
      <x:c r="J108" s="82"/>
      <x:c r="K108" s="82"/>
      <x:c r="L108" s="82"/>
      <x:c r="M108" s="82"/>
      <x:c r="N108" s="82"/>
      <x:c r="O108" s="82"/>
      <x:c r="P108" s="82"/>
      <x:c r="Q108" s="84" t="str">
        <x:f>IFERROR((COUNTIF(H108:P108,"☑ Implémenté")+COUNTIF(H108:P108,"☑ Oui")+0.5*COUNTIF(H108:P108,"◐ Partiel"))/(COUNTIF(H108:P108,"☑ Implémenté")+COUNTIF(H108:P108,"☑ Oui")+COUNTIF(H108:P108,"◐ Partiel")+COUNTIF(H108:P108,"☐ Non implémenté")+COUNTIF(H108:P108,"☐ Non")),"")</x:f>
      </x:c>
      <x:c r="R108" s="82"/>
      <x:c r="S108" s="82"/>
      <x:c r="T108" s="82"/>
      <x:c r="U108" s="82"/>
      <x:c r="V108" s="84" t="str">
        <x:f>IFERROR((COUNTIF(R108:U108,"☑ Implémenté")+COUNTIF(R108:U108,"☑ Oui")+0.5*COUNTIF(R108:U108,"◐ Partiel"))/(COUNTIF(R108:U108,"☑ Implémenté")+COUNTIF(R108:U108,"☑ Oui")+COUNTIF(R108:U108,"◐ Partiel")+COUNTIF(R108:U108,"☐ Non implémenté")+COUNTIF(R108:U108,"☐ Non")),"")</x:f>
      </x:c>
      <x:c r="W108" s="82"/>
      <x:c r="X108" s="82"/>
      <x:c r="Y108" s="84" t="str">
        <x:f>IFERROR((COUNTIF(W108:X108,"☑ Implémenté")+COUNTIF(W108:X108,"☑ Oui")+0.5*COUNTIF(W108:X108,"◐ Partiel"))/(COUNTIF(W108:X108,"☑ Implémenté")+COUNTIF(W108:X108,"☑ Oui")+COUNTIF(W108:X108,"◐ Partiel")+COUNTIF(W108:X108,"☐ Non implémenté")+COUNTIF(W108:X108,"☐ Non")),"")</x:f>
      </x:c>
      <x:c r="Z108" s="82"/>
      <x:c r="AA108" s="82"/>
      <x:c r="AB108" s="82"/>
      <x:c r="AC108" s="82"/>
      <x:c r="AD108" s="82"/>
      <x:c r="AE108" s="82"/>
      <x:c r="AF108" s="82"/>
      <x:c r="AG108" s="84"/>
      <x:c r="AH108" s="82"/>
      <x:c r="AI108" s="82"/>
      <x:c r="AJ108" s="82"/>
      <x:c r="AK108" s="82"/>
      <x:c r="AL108" s="82"/>
      <x:c r="AM108" s="82"/>
      <x:c r="AN108" s="82"/>
      <x:c r="AO108" s="82"/>
      <x:c r="AP108" s="82"/>
      <x:c r="AQ108" s="82"/>
      <x:c r="AR108" s="82"/>
      <x:c r="AS108" s="82"/>
      <x:c r="AT108" s="82"/>
      <x:c r="AU108" s="82"/>
      <x:c r="AV108" s="82"/>
      <x:c r="AW108" s="82"/>
      <x:c r="AX108" s="82"/>
      <x:c r="AY108" s="82"/>
      <x:c r="AZ108" s="82"/>
      <x:c r="BA108" s="82"/>
      <x:c r="BB108" s="82"/>
      <x:c r="BC108" s="82"/>
      <x:c r="BD108" s="84" t="str">
        <x:f>IFERROR((COUNTIF(AZ108:BC108,"☑ Implémenté")+COUNTIF(AZ108:BC108,"☑ Oui")+0.5*COUNTIF(AZ108:BC108,"◐ Partiel"))/(COUNTIF(AZ108:BC108,"☑ Implémenté")+COUNTIF(AZ108:BC108,"☑ Oui")+COUNTIF(AZ108:BC108,"◐ Partiel")+COUNTIF(AZ108:BC108,"☐ Non implémenté")+COUNTIF(AZ108:BC108,"☐ Non")),"")</x:f>
      </x:c>
      <x:c r="BE108" s="84" t="str">
        <x:f>IFERROR((COUNTIF(H108:BD108,"☑ Implémenté")+COUNTIF(H108:BD108,"☑ Oui")+COUNTIF(H108:BD108,"DevOpsFundation")+0.5*COUNTIF(H108:BD108,"◐ Partiel"))/(COUNTIF(H108:BD108,"☑ Implémenté")+COUNTIF(H108:BD108,"☑ Oui")+COUNTIF(H108:BD108,"DevOpsFundation")+COUNTIF(H108:BD108,"◐ Partiel")+COUNTIF(H108:BD108,"☐ Non implémenté")+COUNTIF(H108:BD108,"☐ Non")),"")</x:f>
      </x:c>
      <x:c r="BF108" s="82" t="str">
        <x:f>IF(B108="","",COUNTIF(H108:BD108,"☐ Non implémenté")+COUNTIF(H108:BD108,"☐ Non")+COUNTIF(H108:BD108,"◐ Partiel"))</x:f>
      </x:c>
      <x:c r="BG108" s="82"/>
    </x:row>
    <x:row r="109">
      <x:c r="A109" s="82"/>
      <x:c r="B109" s="82"/>
      <x:c r="C109" s="82"/>
      <x:c r="D109" s="82"/>
      <x:c r="E109" s="82"/>
      <x:c r="F109" s="82"/>
      <x:c r="G109" s="82"/>
      <x:c r="H109" s="82"/>
      <x:c r="I109" s="82"/>
      <x:c r="J109" s="82"/>
      <x:c r="K109" s="82"/>
      <x:c r="L109" s="82"/>
      <x:c r="M109" s="82"/>
      <x:c r="N109" s="82"/>
      <x:c r="O109" s="82"/>
      <x:c r="P109" s="82"/>
      <x:c r="Q109" s="84" t="str">
        <x:f>IFERROR((COUNTIF(H109:P109,"☑ Implémenté")+COUNTIF(H109:P109,"☑ Oui")+0.5*COUNTIF(H109:P109,"◐ Partiel"))/(COUNTIF(H109:P109,"☑ Implémenté")+COUNTIF(H109:P109,"☑ Oui")+COUNTIF(H109:P109,"◐ Partiel")+COUNTIF(H109:P109,"☐ Non implémenté")+COUNTIF(H109:P109,"☐ Non")),"")</x:f>
      </x:c>
      <x:c r="R109" s="82"/>
      <x:c r="S109" s="82"/>
      <x:c r="T109" s="82"/>
      <x:c r="U109" s="82"/>
      <x:c r="V109" s="84" t="str">
        <x:f>IFERROR((COUNTIF(R109:U109,"☑ Implémenté")+COUNTIF(R109:U109,"☑ Oui")+0.5*COUNTIF(R109:U109,"◐ Partiel"))/(COUNTIF(R109:U109,"☑ Implémenté")+COUNTIF(R109:U109,"☑ Oui")+COUNTIF(R109:U109,"◐ Partiel")+COUNTIF(R109:U109,"☐ Non implémenté")+COUNTIF(R109:U109,"☐ Non")),"")</x:f>
      </x:c>
      <x:c r="W109" s="82"/>
      <x:c r="X109" s="82"/>
      <x:c r="Y109" s="84" t="str">
        <x:f>IFERROR((COUNTIF(W109:X109,"☑ Implémenté")+COUNTIF(W109:X109,"☑ Oui")+0.5*COUNTIF(W109:X109,"◐ Partiel"))/(COUNTIF(W109:X109,"☑ Implémenté")+COUNTIF(W109:X109,"☑ Oui")+COUNTIF(W109:X109,"◐ Partiel")+COUNTIF(W109:X109,"☐ Non implémenté")+COUNTIF(W109:X109,"☐ Non")),"")</x:f>
      </x:c>
      <x:c r="Z109" s="82"/>
      <x:c r="AA109" s="82"/>
      <x:c r="AB109" s="82"/>
      <x:c r="AC109" s="82"/>
      <x:c r="AD109" s="82"/>
      <x:c r="AE109" s="82"/>
      <x:c r="AF109" s="82"/>
      <x:c r="AG109" s="84"/>
      <x:c r="AH109" s="82"/>
      <x:c r="AI109" s="82"/>
      <x:c r="AJ109" s="82"/>
      <x:c r="AK109" s="82"/>
      <x:c r="AL109" s="82"/>
      <x:c r="AM109" s="82"/>
      <x:c r="AN109" s="82"/>
      <x:c r="AO109" s="82"/>
      <x:c r="AP109" s="82"/>
      <x:c r="AQ109" s="82"/>
      <x:c r="AR109" s="82"/>
      <x:c r="AS109" s="82"/>
      <x:c r="AT109" s="82"/>
      <x:c r="AU109" s="82"/>
      <x:c r="AV109" s="82"/>
      <x:c r="AW109" s="82"/>
      <x:c r="AX109" s="82"/>
      <x:c r="AY109" s="82"/>
      <x:c r="AZ109" s="82"/>
      <x:c r="BA109" s="82"/>
      <x:c r="BB109" s="82"/>
      <x:c r="BC109" s="82"/>
      <x:c r="BD109" s="84" t="str">
        <x:f>IFERROR((COUNTIF(AZ109:BC109,"☑ Implémenté")+COUNTIF(AZ109:BC109,"☑ Oui")+0.5*COUNTIF(AZ109:BC109,"◐ Partiel"))/(COUNTIF(AZ109:BC109,"☑ Implémenté")+COUNTIF(AZ109:BC109,"☑ Oui")+COUNTIF(AZ109:BC109,"◐ Partiel")+COUNTIF(AZ109:BC109,"☐ Non implémenté")+COUNTIF(AZ109:BC109,"☐ Non")),"")</x:f>
      </x:c>
      <x:c r="BE109" s="84" t="str">
        <x:f>IFERROR((COUNTIF(H109:BD109,"☑ Implémenté")+COUNTIF(H109:BD109,"☑ Oui")+COUNTIF(H109:BD109,"DevOpsFundation")+0.5*COUNTIF(H109:BD109,"◐ Partiel"))/(COUNTIF(H109:BD109,"☑ Implémenté")+COUNTIF(H109:BD109,"☑ Oui")+COUNTIF(H109:BD109,"DevOpsFundation")+COUNTIF(H109:BD109,"◐ Partiel")+COUNTIF(H109:BD109,"☐ Non implémenté")+COUNTIF(H109:BD109,"☐ Non")),"")</x:f>
      </x:c>
      <x:c r="BF109" s="82" t="str">
        <x:f>IF(B109="","",COUNTIF(H109:BD109,"☐ Non implémenté")+COUNTIF(H109:BD109,"☐ Non")+COUNTIF(H109:BD109,"◐ Partiel"))</x:f>
      </x:c>
      <x:c r="BG109" s="82"/>
    </x:row>
    <x:row r="110">
      <x:c r="A110" s="82"/>
      <x:c r="B110" s="82"/>
      <x:c r="C110" s="82"/>
      <x:c r="D110" s="82"/>
      <x:c r="E110" s="82"/>
      <x:c r="F110" s="82"/>
      <x:c r="G110" s="82"/>
      <x:c r="H110" s="82"/>
      <x:c r="I110" s="82"/>
      <x:c r="J110" s="82"/>
      <x:c r="K110" s="82"/>
      <x:c r="L110" s="82"/>
      <x:c r="M110" s="82"/>
      <x:c r="N110" s="82"/>
      <x:c r="O110" s="82"/>
      <x:c r="P110" s="82"/>
      <x:c r="Q110" s="84" t="str">
        <x:f>IFERROR((COUNTIF(H110:P110,"☑ Implémenté")+COUNTIF(H110:P110,"☑ Oui")+0.5*COUNTIF(H110:P110,"◐ Partiel"))/(COUNTIF(H110:P110,"☑ Implémenté")+COUNTIF(H110:P110,"☑ Oui")+COUNTIF(H110:P110,"◐ Partiel")+COUNTIF(H110:P110,"☐ Non implémenté")+COUNTIF(H110:P110,"☐ Non")),"")</x:f>
      </x:c>
      <x:c r="R110" s="82"/>
      <x:c r="S110" s="82"/>
      <x:c r="T110" s="82"/>
      <x:c r="U110" s="82"/>
      <x:c r="V110" s="84" t="str">
        <x:f>IFERROR((COUNTIF(R110:U110,"☑ Implémenté")+COUNTIF(R110:U110,"☑ Oui")+0.5*COUNTIF(R110:U110,"◐ Partiel"))/(COUNTIF(R110:U110,"☑ Implémenté")+COUNTIF(R110:U110,"☑ Oui")+COUNTIF(R110:U110,"◐ Partiel")+COUNTIF(R110:U110,"☐ Non implémenté")+COUNTIF(R110:U110,"☐ Non")),"")</x:f>
      </x:c>
      <x:c r="W110" s="82"/>
      <x:c r="X110" s="82"/>
      <x:c r="Y110" s="84" t="str">
        <x:f>IFERROR((COUNTIF(W110:X110,"☑ Implémenté")+COUNTIF(W110:X110,"☑ Oui")+0.5*COUNTIF(W110:X110,"◐ Partiel"))/(COUNTIF(W110:X110,"☑ Implémenté")+COUNTIF(W110:X110,"☑ Oui")+COUNTIF(W110:X110,"◐ Partiel")+COUNTIF(W110:X110,"☐ Non implémenté")+COUNTIF(W110:X110,"☐ Non")),"")</x:f>
      </x:c>
      <x:c r="Z110" s="82"/>
      <x:c r="AA110" s="82"/>
      <x:c r="AB110" s="82"/>
      <x:c r="AC110" s="82"/>
      <x:c r="AD110" s="82"/>
      <x:c r="AE110" s="82"/>
      <x:c r="AF110" s="82"/>
      <x:c r="AG110" s="84"/>
      <x:c r="AH110" s="82"/>
      <x:c r="AI110" s="82"/>
      <x:c r="AJ110" s="82"/>
      <x:c r="AK110" s="82"/>
      <x:c r="AL110" s="82"/>
      <x:c r="AM110" s="82"/>
      <x:c r="AN110" s="82"/>
      <x:c r="AO110" s="82"/>
      <x:c r="AP110" s="82"/>
      <x:c r="AQ110" s="82"/>
      <x:c r="AR110" s="82"/>
      <x:c r="AS110" s="82"/>
      <x:c r="AT110" s="82"/>
      <x:c r="AU110" s="82"/>
      <x:c r="AV110" s="82"/>
      <x:c r="AW110" s="82"/>
      <x:c r="AX110" s="82"/>
      <x:c r="AY110" s="82"/>
      <x:c r="AZ110" s="82"/>
      <x:c r="BA110" s="82"/>
      <x:c r="BB110" s="82"/>
      <x:c r="BC110" s="82"/>
      <x:c r="BD110" s="84" t="str">
        <x:f>IFERROR((COUNTIF(AZ110:BC110,"☑ Implémenté")+COUNTIF(AZ110:BC110,"☑ Oui")+0.5*COUNTIF(AZ110:BC110,"◐ Partiel"))/(COUNTIF(AZ110:BC110,"☑ Implémenté")+COUNTIF(AZ110:BC110,"☑ Oui")+COUNTIF(AZ110:BC110,"◐ Partiel")+COUNTIF(AZ110:BC110,"☐ Non implémenté")+COUNTIF(AZ110:BC110,"☐ Non")),"")</x:f>
      </x:c>
      <x:c r="BE110" s="84" t="str">
        <x:f>IFERROR((COUNTIF(H110:BD110,"☑ Implémenté")+COUNTIF(H110:BD110,"☑ Oui")+COUNTIF(H110:BD110,"DevOpsFundation")+0.5*COUNTIF(H110:BD110,"◐ Partiel"))/(COUNTIF(H110:BD110,"☑ Implémenté")+COUNTIF(H110:BD110,"☑ Oui")+COUNTIF(H110:BD110,"DevOpsFundation")+COUNTIF(H110:BD110,"◐ Partiel")+COUNTIF(H110:BD110,"☐ Non implémenté")+COUNTIF(H110:BD110,"☐ Non")),"")</x:f>
      </x:c>
      <x:c r="BF110" s="82" t="str">
        <x:f>IF(B110="","",COUNTIF(H110:BD110,"☐ Non implémenté")+COUNTIF(H110:BD110,"☐ Non")+COUNTIF(H110:BD110,"◐ Partiel"))</x:f>
      </x:c>
      <x:c r="BG110" s="82"/>
    </x:row>
    <x:row r="111">
      <x:c r="A111" s="82"/>
      <x:c r="B111" s="82"/>
      <x:c r="C111" s="82"/>
      <x:c r="D111" s="82"/>
      <x:c r="E111" s="82"/>
      <x:c r="F111" s="82"/>
      <x:c r="G111" s="82"/>
      <x:c r="H111" s="82"/>
      <x:c r="I111" s="82"/>
      <x:c r="J111" s="82"/>
      <x:c r="K111" s="82"/>
      <x:c r="L111" s="82"/>
      <x:c r="M111" s="82"/>
      <x:c r="N111" s="82"/>
      <x:c r="O111" s="82"/>
      <x:c r="P111" s="82"/>
      <x:c r="Q111" s="84" t="str">
        <x:f>IFERROR((COUNTIF(H111:P111,"☑ Implémenté")+COUNTIF(H111:P111,"☑ Oui")+0.5*COUNTIF(H111:P111,"◐ Partiel"))/(COUNTIF(H111:P111,"☑ Implémenté")+COUNTIF(H111:P111,"☑ Oui")+COUNTIF(H111:P111,"◐ Partiel")+COUNTIF(H111:P111,"☐ Non implémenté")+COUNTIF(H111:P111,"☐ Non")),"")</x:f>
      </x:c>
      <x:c r="R111" s="82"/>
      <x:c r="S111" s="82"/>
      <x:c r="T111" s="82"/>
      <x:c r="U111" s="82"/>
      <x:c r="V111" s="84" t="str">
        <x:f>IFERROR((COUNTIF(R111:U111,"☑ Implémenté")+COUNTIF(R111:U111,"☑ Oui")+0.5*COUNTIF(R111:U111,"◐ Partiel"))/(COUNTIF(R111:U111,"☑ Implémenté")+COUNTIF(R111:U111,"☑ Oui")+COUNTIF(R111:U111,"◐ Partiel")+COUNTIF(R111:U111,"☐ Non implémenté")+COUNTIF(R111:U111,"☐ Non")),"")</x:f>
      </x:c>
      <x:c r="W111" s="82"/>
      <x:c r="X111" s="82"/>
      <x:c r="Y111" s="84" t="str">
        <x:f>IFERROR((COUNTIF(W111:X111,"☑ Implémenté")+COUNTIF(W111:X111,"☑ Oui")+0.5*COUNTIF(W111:X111,"◐ Partiel"))/(COUNTIF(W111:X111,"☑ Implémenté")+COUNTIF(W111:X111,"☑ Oui")+COUNTIF(W111:X111,"◐ Partiel")+COUNTIF(W111:X111,"☐ Non implémenté")+COUNTIF(W111:X111,"☐ Non")),"")</x:f>
      </x:c>
      <x:c r="Z111" s="82"/>
      <x:c r="AA111" s="82"/>
      <x:c r="AB111" s="82"/>
      <x:c r="AC111" s="82"/>
      <x:c r="AD111" s="82"/>
      <x:c r="AE111" s="82"/>
      <x:c r="AF111" s="82"/>
      <x:c r="AG111" s="84"/>
      <x:c r="AH111" s="82"/>
      <x:c r="AI111" s="82"/>
      <x:c r="AJ111" s="82"/>
      <x:c r="AK111" s="82"/>
      <x:c r="AL111" s="82"/>
      <x:c r="AM111" s="82"/>
      <x:c r="AN111" s="82"/>
      <x:c r="AO111" s="82"/>
      <x:c r="AP111" s="82"/>
      <x:c r="AQ111" s="82"/>
      <x:c r="AR111" s="82"/>
      <x:c r="AS111" s="82"/>
      <x:c r="AT111" s="82"/>
      <x:c r="AU111" s="82"/>
      <x:c r="AV111" s="82"/>
      <x:c r="AW111" s="82"/>
      <x:c r="AX111" s="82"/>
      <x:c r="AY111" s="82"/>
      <x:c r="AZ111" s="82"/>
      <x:c r="BA111" s="82"/>
      <x:c r="BB111" s="82"/>
      <x:c r="BC111" s="82"/>
      <x:c r="BD111" s="84" t="str">
        <x:f>IFERROR((COUNTIF(AZ111:BC111,"☑ Implémenté")+COUNTIF(AZ111:BC111,"☑ Oui")+0.5*COUNTIF(AZ111:BC111,"◐ Partiel"))/(COUNTIF(AZ111:BC111,"☑ Implémenté")+COUNTIF(AZ111:BC111,"☑ Oui")+COUNTIF(AZ111:BC111,"◐ Partiel")+COUNTIF(AZ111:BC111,"☐ Non implémenté")+COUNTIF(AZ111:BC111,"☐ Non")),"")</x:f>
      </x:c>
      <x:c r="BE111" s="84" t="str">
        <x:f>IFERROR((COUNTIF(H111:BD111,"☑ Implémenté")+COUNTIF(H111:BD111,"☑ Oui")+COUNTIF(H111:BD111,"DevOpsFundation")+0.5*COUNTIF(H111:BD111,"◐ Partiel"))/(COUNTIF(H111:BD111,"☑ Implémenté")+COUNTIF(H111:BD111,"☑ Oui")+COUNTIF(H111:BD111,"DevOpsFundation")+COUNTIF(H111:BD111,"◐ Partiel")+COUNTIF(H111:BD111,"☐ Non implémenté")+COUNTIF(H111:BD111,"☐ Non")),"")</x:f>
      </x:c>
      <x:c r="BF111" s="82" t="str">
        <x:f>IF(B111="","",COUNTIF(H111:BD111,"☐ Non implémenté")+COUNTIF(H111:BD111,"☐ Non")+COUNTIF(H111:BD111,"◐ Partiel"))</x:f>
      </x:c>
      <x:c r="BG111" s="82"/>
    </x:row>
    <x:row r="112">
      <x:c r="A112" s="82"/>
      <x:c r="B112" s="82"/>
      <x:c r="C112" s="82"/>
      <x:c r="D112" s="82"/>
      <x:c r="E112" s="82"/>
      <x:c r="F112" s="82"/>
      <x:c r="G112" s="82"/>
      <x:c r="H112" s="82"/>
      <x:c r="I112" s="82"/>
      <x:c r="J112" s="82"/>
      <x:c r="K112" s="82"/>
      <x:c r="L112" s="82"/>
      <x:c r="M112" s="82"/>
      <x:c r="N112" s="82"/>
      <x:c r="O112" s="82"/>
      <x:c r="P112" s="82"/>
      <x:c r="Q112" s="84" t="str">
        <x:f>IFERROR((COUNTIF(H112:P112,"☑ Implémenté")+COUNTIF(H112:P112,"☑ Oui")+0.5*COUNTIF(H112:P112,"◐ Partiel"))/(COUNTIF(H112:P112,"☑ Implémenté")+COUNTIF(H112:P112,"☑ Oui")+COUNTIF(H112:P112,"◐ Partiel")+COUNTIF(H112:P112,"☐ Non implémenté")+COUNTIF(H112:P112,"☐ Non")),"")</x:f>
      </x:c>
      <x:c r="R112" s="82"/>
      <x:c r="S112" s="82"/>
      <x:c r="T112" s="82"/>
      <x:c r="U112" s="82"/>
      <x:c r="V112" s="84" t="str">
        <x:f>IFERROR((COUNTIF(R112:U112,"☑ Implémenté")+COUNTIF(R112:U112,"☑ Oui")+0.5*COUNTIF(R112:U112,"◐ Partiel"))/(COUNTIF(R112:U112,"☑ Implémenté")+COUNTIF(R112:U112,"☑ Oui")+COUNTIF(R112:U112,"◐ Partiel")+COUNTIF(R112:U112,"☐ Non implémenté")+COUNTIF(R112:U112,"☐ Non")),"")</x:f>
      </x:c>
      <x:c r="W112" s="82"/>
      <x:c r="X112" s="82"/>
      <x:c r="Y112" s="84" t="str">
        <x:f>IFERROR((COUNTIF(W112:X112,"☑ Implémenté")+COUNTIF(W112:X112,"☑ Oui")+0.5*COUNTIF(W112:X112,"◐ Partiel"))/(COUNTIF(W112:X112,"☑ Implémenté")+COUNTIF(W112:X112,"☑ Oui")+COUNTIF(W112:X112,"◐ Partiel")+COUNTIF(W112:X112,"☐ Non implémenté")+COUNTIF(W112:X112,"☐ Non")),"")</x:f>
      </x:c>
      <x:c r="Z112" s="82"/>
      <x:c r="AA112" s="82"/>
      <x:c r="AB112" s="82"/>
      <x:c r="AC112" s="82"/>
      <x:c r="AD112" s="82"/>
      <x:c r="AE112" s="82"/>
      <x:c r="AF112" s="82"/>
      <x:c r="AG112" s="84"/>
      <x:c r="AH112" s="82"/>
      <x:c r="AI112" s="82"/>
      <x:c r="AJ112" s="82"/>
      <x:c r="AK112" s="82"/>
      <x:c r="AL112" s="82"/>
      <x:c r="AM112" s="82"/>
      <x:c r="AN112" s="82"/>
      <x:c r="AO112" s="82"/>
      <x:c r="AP112" s="82"/>
      <x:c r="AQ112" s="82"/>
      <x:c r="AR112" s="82"/>
      <x:c r="AS112" s="82"/>
      <x:c r="AT112" s="82"/>
      <x:c r="AU112" s="82"/>
      <x:c r="AV112" s="82"/>
      <x:c r="AW112" s="82"/>
      <x:c r="AX112" s="82"/>
      <x:c r="AY112" s="82"/>
      <x:c r="AZ112" s="82"/>
      <x:c r="BA112" s="82"/>
      <x:c r="BB112" s="82"/>
      <x:c r="BC112" s="82"/>
      <x:c r="BD112" s="84" t="str">
        <x:f>IFERROR((COUNTIF(AZ112:BC112,"☑ Implémenté")+COUNTIF(AZ112:BC112,"☑ Oui")+0.5*COUNTIF(AZ112:BC112,"◐ Partiel"))/(COUNTIF(AZ112:BC112,"☑ Implémenté")+COUNTIF(AZ112:BC112,"☑ Oui")+COUNTIF(AZ112:BC112,"◐ Partiel")+COUNTIF(AZ112:BC112,"☐ Non implémenté")+COUNTIF(AZ112:BC112,"☐ Non")),"")</x:f>
      </x:c>
      <x:c r="BE112" s="84" t="str">
        <x:f>IFERROR((COUNTIF(H112:BD112,"☑ Implémenté")+COUNTIF(H112:BD112,"☑ Oui")+COUNTIF(H112:BD112,"DevOpsFundation")+0.5*COUNTIF(H112:BD112,"◐ Partiel"))/(COUNTIF(H112:BD112,"☑ Implémenté")+COUNTIF(H112:BD112,"☑ Oui")+COUNTIF(H112:BD112,"DevOpsFundation")+COUNTIF(H112:BD112,"◐ Partiel")+COUNTIF(H112:BD112,"☐ Non implémenté")+COUNTIF(H112:BD112,"☐ Non")),"")</x:f>
      </x:c>
      <x:c r="BF112" s="82" t="str">
        <x:f>IF(B112="","",COUNTIF(H112:BD112,"☐ Non implémenté")+COUNTIF(H112:BD112,"☐ Non")+COUNTIF(H112:BD112,"◐ Partiel"))</x:f>
      </x:c>
      <x:c r="BG112" s="82"/>
    </x:row>
    <x:row r="113">
      <x:c r="A113" s="82"/>
      <x:c r="B113" s="82"/>
      <x:c r="C113" s="82"/>
      <x:c r="D113" s="82"/>
      <x:c r="E113" s="82"/>
      <x:c r="F113" s="82"/>
      <x:c r="G113" s="82"/>
      <x:c r="H113" s="82"/>
      <x:c r="I113" s="82"/>
      <x:c r="J113" s="82"/>
      <x:c r="K113" s="82"/>
      <x:c r="L113" s="82"/>
      <x:c r="M113" s="82"/>
      <x:c r="N113" s="82"/>
      <x:c r="O113" s="82"/>
      <x:c r="P113" s="82"/>
      <x:c r="Q113" s="84" t="str">
        <x:f>IFERROR((COUNTIF(H113:P113,"☑ Implémenté")+COUNTIF(H113:P113,"☑ Oui")+0.5*COUNTIF(H113:P113,"◐ Partiel"))/(COUNTIF(H113:P113,"☑ Implémenté")+COUNTIF(H113:P113,"☑ Oui")+COUNTIF(H113:P113,"◐ Partiel")+COUNTIF(H113:P113,"☐ Non implémenté")+COUNTIF(H113:P113,"☐ Non")),"")</x:f>
      </x:c>
      <x:c r="R113" s="82"/>
      <x:c r="S113" s="82"/>
      <x:c r="T113" s="82"/>
      <x:c r="U113" s="82"/>
      <x:c r="V113" s="84" t="str">
        <x:f>IFERROR((COUNTIF(R113:U113,"☑ Implémenté")+COUNTIF(R113:U113,"☑ Oui")+0.5*COUNTIF(R113:U113,"◐ Partiel"))/(COUNTIF(R113:U113,"☑ Implémenté")+COUNTIF(R113:U113,"☑ Oui")+COUNTIF(R113:U113,"◐ Partiel")+COUNTIF(R113:U113,"☐ Non implémenté")+COUNTIF(R113:U113,"☐ Non")),"")</x:f>
      </x:c>
      <x:c r="W113" s="82"/>
      <x:c r="X113" s="82"/>
      <x:c r="Y113" s="84" t="str">
        <x:f>IFERROR((COUNTIF(W113:X113,"☑ Implémenté")+COUNTIF(W113:X113,"☑ Oui")+0.5*COUNTIF(W113:X113,"◐ Partiel"))/(COUNTIF(W113:X113,"☑ Implémenté")+COUNTIF(W113:X113,"☑ Oui")+COUNTIF(W113:X113,"◐ Partiel")+COUNTIF(W113:X113,"☐ Non implémenté")+COUNTIF(W113:X113,"☐ Non")),"")</x:f>
      </x:c>
      <x:c r="Z113" s="82"/>
      <x:c r="AA113" s="82"/>
      <x:c r="AB113" s="82"/>
      <x:c r="AC113" s="82"/>
      <x:c r="AD113" s="82"/>
      <x:c r="AE113" s="82"/>
      <x:c r="AF113" s="82"/>
      <x:c r="AG113" s="84"/>
      <x:c r="AH113" s="82"/>
      <x:c r="AI113" s="82"/>
      <x:c r="AJ113" s="82"/>
      <x:c r="AK113" s="82"/>
      <x:c r="AL113" s="82"/>
      <x:c r="AM113" s="82"/>
      <x:c r="AN113" s="82"/>
      <x:c r="AO113" s="82"/>
      <x:c r="AP113" s="82"/>
      <x:c r="AQ113" s="82"/>
      <x:c r="AR113" s="82"/>
      <x:c r="AS113" s="82"/>
      <x:c r="AT113" s="82"/>
      <x:c r="AU113" s="82"/>
      <x:c r="AV113" s="82"/>
      <x:c r="AW113" s="82"/>
      <x:c r="AX113" s="82"/>
      <x:c r="AY113" s="82"/>
      <x:c r="AZ113" s="82"/>
      <x:c r="BA113" s="82"/>
      <x:c r="BB113" s="82"/>
      <x:c r="BC113" s="82"/>
      <x:c r="BD113" s="84" t="str">
        <x:f>IFERROR((COUNTIF(AZ113:BC113,"☑ Implémenté")+COUNTIF(AZ113:BC113,"☑ Oui")+0.5*COUNTIF(AZ113:BC113,"◐ Partiel"))/(COUNTIF(AZ113:BC113,"☑ Implémenté")+COUNTIF(AZ113:BC113,"☑ Oui")+COUNTIF(AZ113:BC113,"◐ Partiel")+COUNTIF(AZ113:BC113,"☐ Non implémenté")+COUNTIF(AZ113:BC113,"☐ Non")),"")</x:f>
      </x:c>
      <x:c r="BE113" s="84" t="str">
        <x:f>IFERROR((COUNTIF(H113:BD113,"☑ Implémenté")+COUNTIF(H113:BD113,"☑ Oui")+COUNTIF(H113:BD113,"DevOpsFundation")+0.5*COUNTIF(H113:BD113,"◐ Partiel"))/(COUNTIF(H113:BD113,"☑ Implémenté")+COUNTIF(H113:BD113,"☑ Oui")+COUNTIF(H113:BD113,"DevOpsFundation")+COUNTIF(H113:BD113,"◐ Partiel")+COUNTIF(H113:BD113,"☐ Non implémenté")+COUNTIF(H113:BD113,"☐ Non")),"")</x:f>
      </x:c>
      <x:c r="BF113" s="82" t="str">
        <x:f>IF(B113="","",COUNTIF(H113:BD113,"☐ Non implémenté")+COUNTIF(H113:BD113,"☐ Non")+COUNTIF(H113:BD113,"◐ Partiel"))</x:f>
      </x:c>
      <x:c r="BG113" s="82"/>
    </x:row>
    <x:row r="114">
      <x:c r="A114" s="82"/>
      <x:c r="B114" s="82"/>
      <x:c r="C114" s="82"/>
      <x:c r="D114" s="82"/>
      <x:c r="E114" s="82"/>
      <x:c r="F114" s="82"/>
      <x:c r="G114" s="82"/>
      <x:c r="H114" s="82"/>
      <x:c r="I114" s="82"/>
      <x:c r="J114" s="82"/>
      <x:c r="K114" s="82"/>
      <x:c r="L114" s="82"/>
      <x:c r="M114" s="82"/>
      <x:c r="N114" s="82"/>
      <x:c r="O114" s="82"/>
      <x:c r="P114" s="82"/>
      <x:c r="Q114" s="84" t="str">
        <x:f>IFERROR((COUNTIF(H114:P114,"☑ Implémenté")+COUNTIF(H114:P114,"☑ Oui")+0.5*COUNTIF(H114:P114,"◐ Partiel"))/(COUNTIF(H114:P114,"☑ Implémenté")+COUNTIF(H114:P114,"☑ Oui")+COUNTIF(H114:P114,"◐ Partiel")+COUNTIF(H114:P114,"☐ Non implémenté")+COUNTIF(H114:P114,"☐ Non")),"")</x:f>
      </x:c>
      <x:c r="R114" s="82"/>
      <x:c r="S114" s="82"/>
      <x:c r="T114" s="82"/>
      <x:c r="U114" s="82"/>
      <x:c r="V114" s="84" t="str">
        <x:f>IFERROR((COUNTIF(R114:U114,"☑ Implémenté")+COUNTIF(R114:U114,"☑ Oui")+0.5*COUNTIF(R114:U114,"◐ Partiel"))/(COUNTIF(R114:U114,"☑ Implémenté")+COUNTIF(R114:U114,"☑ Oui")+COUNTIF(R114:U114,"◐ Partiel")+COUNTIF(R114:U114,"☐ Non implémenté")+COUNTIF(R114:U114,"☐ Non")),"")</x:f>
      </x:c>
      <x:c r="W114" s="82"/>
      <x:c r="X114" s="82"/>
      <x:c r="Y114" s="84" t="str">
        <x:f>IFERROR((COUNTIF(W114:X114,"☑ Implémenté")+COUNTIF(W114:X114,"☑ Oui")+0.5*COUNTIF(W114:X114,"◐ Partiel"))/(COUNTIF(W114:X114,"☑ Implémenté")+COUNTIF(W114:X114,"☑ Oui")+COUNTIF(W114:X114,"◐ Partiel")+COUNTIF(W114:X114,"☐ Non implémenté")+COUNTIF(W114:X114,"☐ Non")),"")</x:f>
      </x:c>
      <x:c r="Z114" s="82"/>
      <x:c r="AA114" s="82"/>
      <x:c r="AB114" s="82"/>
      <x:c r="AC114" s="82"/>
      <x:c r="AD114" s="82"/>
      <x:c r="AE114" s="82"/>
      <x:c r="AF114" s="82"/>
      <x:c r="AG114" s="84"/>
      <x:c r="AH114" s="82"/>
      <x:c r="AI114" s="82"/>
      <x:c r="AJ114" s="82"/>
      <x:c r="AK114" s="82"/>
      <x:c r="AL114" s="82"/>
      <x:c r="AM114" s="82"/>
      <x:c r="AN114" s="82"/>
      <x:c r="AO114" s="82"/>
      <x:c r="AP114" s="82"/>
      <x:c r="AQ114" s="82"/>
      <x:c r="AR114" s="82"/>
      <x:c r="AS114" s="82"/>
      <x:c r="AT114" s="82"/>
      <x:c r="AU114" s="82"/>
      <x:c r="AV114" s="82"/>
      <x:c r="AW114" s="82"/>
      <x:c r="AX114" s="82"/>
      <x:c r="AY114" s="82"/>
      <x:c r="AZ114" s="82"/>
      <x:c r="BA114" s="82"/>
      <x:c r="BB114" s="82"/>
      <x:c r="BC114" s="82"/>
      <x:c r="BD114" s="84" t="str">
        <x:f>IFERROR((COUNTIF(AZ114:BC114,"☑ Implémenté")+COUNTIF(AZ114:BC114,"☑ Oui")+0.5*COUNTIF(AZ114:BC114,"◐ Partiel"))/(COUNTIF(AZ114:BC114,"☑ Implémenté")+COUNTIF(AZ114:BC114,"☑ Oui")+COUNTIF(AZ114:BC114,"◐ Partiel")+COUNTIF(AZ114:BC114,"☐ Non implémenté")+COUNTIF(AZ114:BC114,"☐ Non")),"")</x:f>
      </x:c>
      <x:c r="BE114" s="84" t="str">
        <x:f>IFERROR((COUNTIF(H114:BD114,"☑ Implémenté")+COUNTIF(H114:BD114,"☑ Oui")+COUNTIF(H114:BD114,"DevOpsFundation")+0.5*COUNTIF(H114:BD114,"◐ Partiel"))/(COUNTIF(H114:BD114,"☑ Implémenté")+COUNTIF(H114:BD114,"☑ Oui")+COUNTIF(H114:BD114,"DevOpsFundation")+COUNTIF(H114:BD114,"◐ Partiel")+COUNTIF(H114:BD114,"☐ Non implémenté")+COUNTIF(H114:BD114,"☐ Non")),"")</x:f>
      </x:c>
      <x:c r="BF114" s="82" t="str">
        <x:f>IF(B114="","",COUNTIF(H114:BD114,"☐ Non implémenté")+COUNTIF(H114:BD114,"☐ Non")+COUNTIF(H114:BD114,"◐ Partiel"))</x:f>
      </x:c>
      <x:c r="BG114" s="82"/>
    </x:row>
    <x:row r="115">
      <x:c r="A115" s="82"/>
      <x:c r="B115" s="82"/>
      <x:c r="C115" s="82"/>
      <x:c r="D115" s="82"/>
      <x:c r="E115" s="82"/>
      <x:c r="F115" s="82"/>
      <x:c r="G115" s="82"/>
      <x:c r="H115" s="82"/>
      <x:c r="I115" s="82"/>
      <x:c r="J115" s="82"/>
      <x:c r="K115" s="82"/>
      <x:c r="L115" s="82"/>
      <x:c r="M115" s="82"/>
      <x:c r="N115" s="82"/>
      <x:c r="O115" s="82"/>
      <x:c r="P115" s="82"/>
      <x:c r="Q115" s="84" t="str">
        <x:f>IFERROR((COUNTIF(H115:P115,"☑ Implémenté")+COUNTIF(H115:P115,"☑ Oui")+0.5*COUNTIF(H115:P115,"◐ Partiel"))/(COUNTIF(H115:P115,"☑ Implémenté")+COUNTIF(H115:P115,"☑ Oui")+COUNTIF(H115:P115,"◐ Partiel")+COUNTIF(H115:P115,"☐ Non implémenté")+COUNTIF(H115:P115,"☐ Non")),"")</x:f>
      </x:c>
      <x:c r="R115" s="82"/>
      <x:c r="S115" s="82"/>
      <x:c r="T115" s="82"/>
      <x:c r="U115" s="82"/>
      <x:c r="V115" s="84" t="str">
        <x:f>IFERROR((COUNTIF(R115:U115,"☑ Implémenté")+COUNTIF(R115:U115,"☑ Oui")+0.5*COUNTIF(R115:U115,"◐ Partiel"))/(COUNTIF(R115:U115,"☑ Implémenté")+COUNTIF(R115:U115,"☑ Oui")+COUNTIF(R115:U115,"◐ Partiel")+COUNTIF(R115:U115,"☐ Non implémenté")+COUNTIF(R115:U115,"☐ Non")),"")</x:f>
      </x:c>
      <x:c r="W115" s="82"/>
      <x:c r="X115" s="82"/>
      <x:c r="Y115" s="84" t="str">
        <x:f>IFERROR((COUNTIF(W115:X115,"☑ Implémenté")+COUNTIF(W115:X115,"☑ Oui")+0.5*COUNTIF(W115:X115,"◐ Partiel"))/(COUNTIF(W115:X115,"☑ Implémenté")+COUNTIF(W115:X115,"☑ Oui")+COUNTIF(W115:X115,"◐ Partiel")+COUNTIF(W115:X115,"☐ Non implémenté")+COUNTIF(W115:X115,"☐ Non")),"")</x:f>
      </x:c>
      <x:c r="Z115" s="82"/>
      <x:c r="AA115" s="82"/>
      <x:c r="AB115" s="82"/>
      <x:c r="AC115" s="82"/>
      <x:c r="AD115" s="82"/>
      <x:c r="AE115" s="82"/>
      <x:c r="AF115" s="82"/>
      <x:c r="AG115" s="84"/>
      <x:c r="AH115" s="82"/>
      <x:c r="AI115" s="82"/>
      <x:c r="AJ115" s="82"/>
      <x:c r="AK115" s="82"/>
      <x:c r="AL115" s="82"/>
      <x:c r="AM115" s="82"/>
      <x:c r="AN115" s="82"/>
      <x:c r="AO115" s="82"/>
      <x:c r="AP115" s="82"/>
      <x:c r="AQ115" s="82"/>
      <x:c r="AR115" s="82"/>
      <x:c r="AS115" s="82"/>
      <x:c r="AT115" s="82"/>
      <x:c r="AU115" s="82"/>
      <x:c r="AV115" s="82"/>
      <x:c r="AW115" s="82"/>
      <x:c r="AX115" s="82"/>
      <x:c r="AY115" s="82"/>
      <x:c r="AZ115" s="82"/>
      <x:c r="BA115" s="82"/>
      <x:c r="BB115" s="82"/>
      <x:c r="BC115" s="82"/>
      <x:c r="BD115" s="84" t="str">
        <x:f>IFERROR((COUNTIF(AZ115:BC115,"☑ Implémenté")+COUNTIF(AZ115:BC115,"☑ Oui")+0.5*COUNTIF(AZ115:BC115,"◐ Partiel"))/(COUNTIF(AZ115:BC115,"☑ Implémenté")+COUNTIF(AZ115:BC115,"☑ Oui")+COUNTIF(AZ115:BC115,"◐ Partiel")+COUNTIF(AZ115:BC115,"☐ Non implémenté")+COUNTIF(AZ115:BC115,"☐ Non")),"")</x:f>
      </x:c>
      <x:c r="BE115" s="84" t="str">
        <x:f>IFERROR((COUNTIF(H115:BD115,"☑ Implémenté")+COUNTIF(H115:BD115,"☑ Oui")+COUNTIF(H115:BD115,"DevOpsFundation")+0.5*COUNTIF(H115:BD115,"◐ Partiel"))/(COUNTIF(H115:BD115,"☑ Implémenté")+COUNTIF(H115:BD115,"☑ Oui")+COUNTIF(H115:BD115,"DevOpsFundation")+COUNTIF(H115:BD115,"◐ Partiel")+COUNTIF(H115:BD115,"☐ Non implémenté")+COUNTIF(H115:BD115,"☐ Non")),"")</x:f>
      </x:c>
      <x:c r="BF115" s="82" t="str">
        <x:f>IF(B115="","",COUNTIF(H115:BD115,"☐ Non implémenté")+COUNTIF(H115:BD115,"☐ Non")+COUNTIF(H115:BD115,"◐ Partiel"))</x:f>
      </x:c>
      <x:c r="BG115" s="82"/>
    </x:row>
    <x:row r="116">
      <x:c r="A116" s="82"/>
      <x:c r="B116" s="82"/>
      <x:c r="C116" s="82"/>
      <x:c r="D116" s="82"/>
      <x:c r="E116" s="82"/>
      <x:c r="F116" s="82"/>
      <x:c r="G116" s="82"/>
      <x:c r="H116" s="82"/>
      <x:c r="I116" s="82"/>
      <x:c r="J116" s="82"/>
      <x:c r="K116" s="82"/>
      <x:c r="L116" s="82"/>
      <x:c r="M116" s="82"/>
      <x:c r="N116" s="82"/>
      <x:c r="O116" s="82"/>
      <x:c r="P116" s="82"/>
      <x:c r="Q116" s="84" t="str">
        <x:f>IFERROR((COUNTIF(H116:P116,"☑ Implémenté")+COUNTIF(H116:P116,"☑ Oui")+0.5*COUNTIF(H116:P116,"◐ Partiel"))/(COUNTIF(H116:P116,"☑ Implémenté")+COUNTIF(H116:P116,"☑ Oui")+COUNTIF(H116:P116,"◐ Partiel")+COUNTIF(H116:P116,"☐ Non implémenté")+COUNTIF(H116:P116,"☐ Non")),"")</x:f>
      </x:c>
      <x:c r="R116" s="82"/>
      <x:c r="S116" s="82"/>
      <x:c r="T116" s="82"/>
      <x:c r="U116" s="82"/>
      <x:c r="V116" s="84" t="str">
        <x:f>IFERROR((COUNTIF(R116:U116,"☑ Implémenté")+COUNTIF(R116:U116,"☑ Oui")+0.5*COUNTIF(R116:U116,"◐ Partiel"))/(COUNTIF(R116:U116,"☑ Implémenté")+COUNTIF(R116:U116,"☑ Oui")+COUNTIF(R116:U116,"◐ Partiel")+COUNTIF(R116:U116,"☐ Non implémenté")+COUNTIF(R116:U116,"☐ Non")),"")</x:f>
      </x:c>
      <x:c r="W116" s="82"/>
      <x:c r="X116" s="82"/>
      <x:c r="Y116" s="84" t="str">
        <x:f>IFERROR((COUNTIF(W116:X116,"☑ Implémenté")+COUNTIF(W116:X116,"☑ Oui")+0.5*COUNTIF(W116:X116,"◐ Partiel"))/(COUNTIF(W116:X116,"☑ Implémenté")+COUNTIF(W116:X116,"☑ Oui")+COUNTIF(W116:X116,"◐ Partiel")+COUNTIF(W116:X116,"☐ Non implémenté")+COUNTIF(W116:X116,"☐ Non")),"")</x:f>
      </x:c>
      <x:c r="Z116" s="82"/>
      <x:c r="AA116" s="82"/>
      <x:c r="AB116" s="82"/>
      <x:c r="AC116" s="82"/>
      <x:c r="AD116" s="82"/>
      <x:c r="AE116" s="82"/>
      <x:c r="AF116" s="82"/>
      <x:c r="AG116" s="84"/>
      <x:c r="AH116" s="82"/>
      <x:c r="AI116" s="82"/>
      <x:c r="AJ116" s="82"/>
      <x:c r="AK116" s="82"/>
      <x:c r="AL116" s="82"/>
      <x:c r="AM116" s="82"/>
      <x:c r="AN116" s="82"/>
      <x:c r="AO116" s="82"/>
      <x:c r="AP116" s="82"/>
      <x:c r="AQ116" s="82"/>
      <x:c r="AR116" s="82"/>
      <x:c r="AS116" s="82"/>
      <x:c r="AT116" s="82"/>
      <x:c r="AU116" s="82"/>
      <x:c r="AV116" s="82"/>
      <x:c r="AW116" s="82"/>
      <x:c r="AX116" s="82"/>
      <x:c r="AY116" s="82"/>
      <x:c r="AZ116" s="82"/>
      <x:c r="BA116" s="82"/>
      <x:c r="BB116" s="82"/>
      <x:c r="BC116" s="82"/>
      <x:c r="BD116" s="84" t="str">
        <x:f>IFERROR((COUNTIF(AZ116:BC116,"☑ Implémenté")+COUNTIF(AZ116:BC116,"☑ Oui")+0.5*COUNTIF(AZ116:BC116,"◐ Partiel"))/(COUNTIF(AZ116:BC116,"☑ Implémenté")+COUNTIF(AZ116:BC116,"☑ Oui")+COUNTIF(AZ116:BC116,"◐ Partiel")+COUNTIF(AZ116:BC116,"☐ Non implémenté")+COUNTIF(AZ116:BC116,"☐ Non")),"")</x:f>
      </x:c>
      <x:c r="BE116" s="84" t="str">
        <x:f>IFERROR((COUNTIF(H116:BD116,"☑ Implémenté")+COUNTIF(H116:BD116,"☑ Oui")+COUNTIF(H116:BD116,"DevOpsFundation")+0.5*COUNTIF(H116:BD116,"◐ Partiel"))/(COUNTIF(H116:BD116,"☑ Implémenté")+COUNTIF(H116:BD116,"☑ Oui")+COUNTIF(H116:BD116,"DevOpsFundation")+COUNTIF(H116:BD116,"◐ Partiel")+COUNTIF(H116:BD116,"☐ Non implémenté")+COUNTIF(H116:BD116,"☐ Non")),"")</x:f>
      </x:c>
      <x:c r="BF116" s="82" t="str">
        <x:f>IF(B116="","",COUNTIF(H116:BD116,"☐ Non implémenté")+COUNTIF(H116:BD116,"☐ Non")+COUNTIF(H116:BD116,"◐ Partiel"))</x:f>
      </x:c>
      <x:c r="BG116" s="82"/>
    </x:row>
    <x:row r="117">
      <x:c r="A117" s="82"/>
      <x:c r="B117" s="82"/>
      <x:c r="C117" s="82"/>
      <x:c r="D117" s="82"/>
      <x:c r="E117" s="82"/>
      <x:c r="F117" s="82"/>
      <x:c r="G117" s="82"/>
      <x:c r="H117" s="82"/>
      <x:c r="I117" s="82"/>
      <x:c r="J117" s="82"/>
      <x:c r="K117" s="82"/>
      <x:c r="L117" s="82"/>
      <x:c r="M117" s="82"/>
      <x:c r="N117" s="82"/>
      <x:c r="O117" s="82"/>
      <x:c r="P117" s="82"/>
      <x:c r="Q117" s="84" t="str">
        <x:f>IFERROR((COUNTIF(H117:P117,"☑ Implémenté")+COUNTIF(H117:P117,"☑ Oui")+0.5*COUNTIF(H117:P117,"◐ Partiel"))/(COUNTIF(H117:P117,"☑ Implémenté")+COUNTIF(H117:P117,"☑ Oui")+COUNTIF(H117:P117,"◐ Partiel")+COUNTIF(H117:P117,"☐ Non implémenté")+COUNTIF(H117:P117,"☐ Non")),"")</x:f>
      </x:c>
      <x:c r="R117" s="82"/>
      <x:c r="S117" s="82"/>
      <x:c r="T117" s="82"/>
      <x:c r="U117" s="82"/>
      <x:c r="V117" s="84" t="str">
        <x:f>IFERROR((COUNTIF(R117:U117,"☑ Implémenté")+COUNTIF(R117:U117,"☑ Oui")+0.5*COUNTIF(R117:U117,"◐ Partiel"))/(COUNTIF(R117:U117,"☑ Implémenté")+COUNTIF(R117:U117,"☑ Oui")+COUNTIF(R117:U117,"◐ Partiel")+COUNTIF(R117:U117,"☐ Non implémenté")+COUNTIF(R117:U117,"☐ Non")),"")</x:f>
      </x:c>
      <x:c r="W117" s="82"/>
      <x:c r="X117" s="82"/>
      <x:c r="Y117" s="84" t="str">
        <x:f>IFERROR((COUNTIF(W117:X117,"☑ Implémenté")+COUNTIF(W117:X117,"☑ Oui")+0.5*COUNTIF(W117:X117,"◐ Partiel"))/(COUNTIF(W117:X117,"☑ Implémenté")+COUNTIF(W117:X117,"☑ Oui")+COUNTIF(W117:X117,"◐ Partiel")+COUNTIF(W117:X117,"☐ Non implémenté")+COUNTIF(W117:X117,"☐ Non")),"")</x:f>
      </x:c>
      <x:c r="Z117" s="82"/>
      <x:c r="AA117" s="82"/>
      <x:c r="AB117" s="82"/>
      <x:c r="AC117" s="82"/>
      <x:c r="AD117" s="82"/>
      <x:c r="AE117" s="82"/>
      <x:c r="AF117" s="82"/>
      <x:c r="AG117" s="84"/>
      <x:c r="AH117" s="82"/>
      <x:c r="AI117" s="82"/>
      <x:c r="AJ117" s="82"/>
      <x:c r="AK117" s="82"/>
      <x:c r="AL117" s="82"/>
      <x:c r="AM117" s="82"/>
      <x:c r="AN117" s="82"/>
      <x:c r="AO117" s="82"/>
      <x:c r="AP117" s="82"/>
      <x:c r="AQ117" s="82"/>
      <x:c r="AR117" s="82"/>
      <x:c r="AS117" s="82"/>
      <x:c r="AT117" s="82"/>
      <x:c r="AU117" s="82"/>
      <x:c r="AV117" s="82"/>
      <x:c r="AW117" s="82"/>
      <x:c r="AX117" s="82"/>
      <x:c r="AY117" s="82"/>
      <x:c r="AZ117" s="82"/>
      <x:c r="BA117" s="82"/>
      <x:c r="BB117" s="82"/>
      <x:c r="BC117" s="82"/>
      <x:c r="BD117" s="84" t="str">
        <x:f>IFERROR((COUNTIF(AZ117:BC117,"☑ Implémenté")+COUNTIF(AZ117:BC117,"☑ Oui")+0.5*COUNTIF(AZ117:BC117,"◐ Partiel"))/(COUNTIF(AZ117:BC117,"☑ Implémenté")+COUNTIF(AZ117:BC117,"☑ Oui")+COUNTIF(AZ117:BC117,"◐ Partiel")+COUNTIF(AZ117:BC117,"☐ Non implémenté")+COUNTIF(AZ117:BC117,"☐ Non")),"")</x:f>
      </x:c>
      <x:c r="BE117" s="84" t="str">
        <x:f>IFERROR((COUNTIF(H117:BD117,"☑ Implémenté")+COUNTIF(H117:BD117,"☑ Oui")+COUNTIF(H117:BD117,"DevOpsFundation")+0.5*COUNTIF(H117:BD117,"◐ Partiel"))/(COUNTIF(H117:BD117,"☑ Implémenté")+COUNTIF(H117:BD117,"☑ Oui")+COUNTIF(H117:BD117,"DevOpsFundation")+COUNTIF(H117:BD117,"◐ Partiel")+COUNTIF(H117:BD117,"☐ Non implémenté")+COUNTIF(H117:BD117,"☐ Non")),"")</x:f>
      </x:c>
      <x:c r="BF117" s="82" t="str">
        <x:f>IF(B117="","",COUNTIF(H117:BD117,"☐ Non implémenté")+COUNTIF(H117:BD117,"☐ Non")+COUNTIF(H117:BD117,"◐ Partiel"))</x:f>
      </x:c>
      <x:c r="BG117" s="82"/>
    </x:row>
    <x:row r="118">
      <x:c r="A118" s="82"/>
      <x:c r="B118" s="82"/>
      <x:c r="C118" s="82"/>
      <x:c r="D118" s="82"/>
      <x:c r="E118" s="82"/>
      <x:c r="F118" s="82"/>
      <x:c r="G118" s="82"/>
      <x:c r="H118" s="82"/>
      <x:c r="I118" s="82"/>
      <x:c r="J118" s="82"/>
      <x:c r="K118" s="82"/>
      <x:c r="L118" s="82"/>
      <x:c r="M118" s="82"/>
      <x:c r="N118" s="82"/>
      <x:c r="O118" s="82"/>
      <x:c r="P118" s="82"/>
      <x:c r="Q118" s="84" t="str">
        <x:f>IFERROR((COUNTIF(H118:P118,"☑ Implémenté")+COUNTIF(H118:P118,"☑ Oui")+0.5*COUNTIF(H118:P118,"◐ Partiel"))/(COUNTIF(H118:P118,"☑ Implémenté")+COUNTIF(H118:P118,"☑ Oui")+COUNTIF(H118:P118,"◐ Partiel")+COUNTIF(H118:P118,"☐ Non implémenté")+COUNTIF(H118:P118,"☐ Non")),"")</x:f>
      </x:c>
      <x:c r="R118" s="82"/>
      <x:c r="S118" s="82"/>
      <x:c r="T118" s="82"/>
      <x:c r="U118" s="82"/>
      <x:c r="V118" s="84" t="str">
        <x:f>IFERROR((COUNTIF(R118:U118,"☑ Implémenté")+COUNTIF(R118:U118,"☑ Oui")+0.5*COUNTIF(R118:U118,"◐ Partiel"))/(COUNTIF(R118:U118,"☑ Implémenté")+COUNTIF(R118:U118,"☑ Oui")+COUNTIF(R118:U118,"◐ Partiel")+COUNTIF(R118:U118,"☐ Non implémenté")+COUNTIF(R118:U118,"☐ Non")),"")</x:f>
      </x:c>
      <x:c r="W118" s="82"/>
      <x:c r="X118" s="82"/>
      <x:c r="Y118" s="84" t="str">
        <x:f>IFERROR((COUNTIF(W118:X118,"☑ Implémenté")+COUNTIF(W118:X118,"☑ Oui")+0.5*COUNTIF(W118:X118,"◐ Partiel"))/(COUNTIF(W118:X118,"☑ Implémenté")+COUNTIF(W118:X118,"☑ Oui")+COUNTIF(W118:X118,"◐ Partiel")+COUNTIF(W118:X118,"☐ Non implémenté")+COUNTIF(W118:X118,"☐ Non")),"")</x:f>
      </x:c>
      <x:c r="Z118" s="82"/>
      <x:c r="AA118" s="82"/>
      <x:c r="AB118" s="82"/>
      <x:c r="AC118" s="82"/>
      <x:c r="AD118" s="82"/>
      <x:c r="AE118" s="82"/>
      <x:c r="AF118" s="82"/>
      <x:c r="AG118" s="84"/>
      <x:c r="AH118" s="82"/>
      <x:c r="AI118" s="82"/>
      <x:c r="AJ118" s="82"/>
      <x:c r="AK118" s="82"/>
      <x:c r="AL118" s="82"/>
      <x:c r="AM118" s="82"/>
      <x:c r="AN118" s="82"/>
      <x:c r="AO118" s="82"/>
      <x:c r="AP118" s="82"/>
      <x:c r="AQ118" s="82"/>
      <x:c r="AR118" s="82"/>
      <x:c r="AS118" s="82"/>
      <x:c r="AT118" s="82"/>
      <x:c r="AU118" s="82"/>
      <x:c r="AV118" s="82"/>
      <x:c r="AW118" s="82"/>
      <x:c r="AX118" s="82"/>
      <x:c r="AY118" s="82"/>
      <x:c r="AZ118" s="82"/>
      <x:c r="BA118" s="82"/>
      <x:c r="BB118" s="82"/>
      <x:c r="BC118" s="82"/>
      <x:c r="BD118" s="84" t="str">
        <x:f>IFERROR((COUNTIF(AZ118:BC118,"☑ Implémenté")+COUNTIF(AZ118:BC118,"☑ Oui")+0.5*COUNTIF(AZ118:BC118,"◐ Partiel"))/(COUNTIF(AZ118:BC118,"☑ Implémenté")+COUNTIF(AZ118:BC118,"☑ Oui")+COUNTIF(AZ118:BC118,"◐ Partiel")+COUNTIF(AZ118:BC118,"☐ Non implémenté")+COUNTIF(AZ118:BC118,"☐ Non")),"")</x:f>
      </x:c>
      <x:c r="BE118" s="84" t="str">
        <x:f>IFERROR((COUNTIF(H118:BD118,"☑ Implémenté")+COUNTIF(H118:BD118,"☑ Oui")+COUNTIF(H118:BD118,"DevOpsFundation")+0.5*COUNTIF(H118:BD118,"◐ Partiel"))/(COUNTIF(H118:BD118,"☑ Implémenté")+COUNTIF(H118:BD118,"☑ Oui")+COUNTIF(H118:BD118,"DevOpsFundation")+COUNTIF(H118:BD118,"◐ Partiel")+COUNTIF(H118:BD118,"☐ Non implémenté")+COUNTIF(H118:BD118,"☐ Non")),"")</x:f>
      </x:c>
      <x:c r="BF118" s="82" t="str">
        <x:f>IF(B118="","",COUNTIF(H118:BD118,"☐ Non implémenté")+COUNTIF(H118:BD118,"☐ Non")+COUNTIF(H118:BD118,"◐ Partiel"))</x:f>
      </x:c>
      <x:c r="BG118" s="82"/>
    </x:row>
    <x:row r="119">
      <x:c r="A119" s="82"/>
      <x:c r="B119" s="82"/>
      <x:c r="C119" s="82"/>
      <x:c r="D119" s="82"/>
      <x:c r="E119" s="82"/>
      <x:c r="F119" s="82"/>
      <x:c r="G119" s="82"/>
      <x:c r="H119" s="82"/>
      <x:c r="I119" s="82"/>
      <x:c r="J119" s="82"/>
      <x:c r="K119" s="82"/>
      <x:c r="L119" s="82"/>
      <x:c r="M119" s="82"/>
      <x:c r="N119" s="82"/>
      <x:c r="O119" s="82"/>
      <x:c r="P119" s="82"/>
      <x:c r="Q119" s="84" t="str">
        <x:f>IFERROR((COUNTIF(H119:P119,"☑ Implémenté")+COUNTIF(H119:P119,"☑ Oui")+0.5*COUNTIF(H119:P119,"◐ Partiel"))/(COUNTIF(H119:P119,"☑ Implémenté")+COUNTIF(H119:P119,"☑ Oui")+COUNTIF(H119:P119,"◐ Partiel")+COUNTIF(H119:P119,"☐ Non implémenté")+COUNTIF(H119:P119,"☐ Non")),"")</x:f>
      </x:c>
      <x:c r="R119" s="82"/>
      <x:c r="S119" s="82"/>
      <x:c r="T119" s="82"/>
      <x:c r="U119" s="82"/>
      <x:c r="V119" s="84" t="str">
        <x:f>IFERROR((COUNTIF(R119:U119,"☑ Implémenté")+COUNTIF(R119:U119,"☑ Oui")+0.5*COUNTIF(R119:U119,"◐ Partiel"))/(COUNTIF(R119:U119,"☑ Implémenté")+COUNTIF(R119:U119,"☑ Oui")+COUNTIF(R119:U119,"◐ Partiel")+COUNTIF(R119:U119,"☐ Non implémenté")+COUNTIF(R119:U119,"☐ Non")),"")</x:f>
      </x:c>
      <x:c r="W119" s="82"/>
      <x:c r="X119" s="82"/>
      <x:c r="Y119" s="84" t="str">
        <x:f>IFERROR((COUNTIF(W119:X119,"☑ Implémenté")+COUNTIF(W119:X119,"☑ Oui")+0.5*COUNTIF(W119:X119,"◐ Partiel"))/(COUNTIF(W119:X119,"☑ Implémenté")+COUNTIF(W119:X119,"☑ Oui")+COUNTIF(W119:X119,"◐ Partiel")+COUNTIF(W119:X119,"☐ Non implémenté")+COUNTIF(W119:X119,"☐ Non")),"")</x:f>
      </x:c>
      <x:c r="Z119" s="82"/>
      <x:c r="AA119" s="82"/>
      <x:c r="AB119" s="82"/>
      <x:c r="AC119" s="82"/>
      <x:c r="AD119" s="82"/>
      <x:c r="AE119" s="82"/>
      <x:c r="AF119" s="82"/>
      <x:c r="AG119" s="84"/>
      <x:c r="AH119" s="82"/>
      <x:c r="AI119" s="82"/>
      <x:c r="AJ119" s="82"/>
      <x:c r="AK119" s="82"/>
      <x:c r="AL119" s="82"/>
      <x:c r="AM119" s="82"/>
      <x:c r="AN119" s="82"/>
      <x:c r="AO119" s="82"/>
      <x:c r="AP119" s="82"/>
      <x:c r="AQ119" s="82"/>
      <x:c r="AR119" s="82"/>
      <x:c r="AS119" s="82"/>
      <x:c r="AT119" s="82"/>
      <x:c r="AU119" s="82"/>
      <x:c r="AV119" s="82"/>
      <x:c r="AW119" s="82"/>
      <x:c r="AX119" s="82"/>
      <x:c r="AY119" s="82"/>
      <x:c r="AZ119" s="82"/>
      <x:c r="BA119" s="82"/>
      <x:c r="BB119" s="82"/>
      <x:c r="BC119" s="82"/>
      <x:c r="BD119" s="84" t="str">
        <x:f>IFERROR((COUNTIF(AZ119:BC119,"☑ Implémenté")+COUNTIF(AZ119:BC119,"☑ Oui")+0.5*COUNTIF(AZ119:BC119,"◐ Partiel"))/(COUNTIF(AZ119:BC119,"☑ Implémenté")+COUNTIF(AZ119:BC119,"☑ Oui")+COUNTIF(AZ119:BC119,"◐ Partiel")+COUNTIF(AZ119:BC119,"☐ Non implémenté")+COUNTIF(AZ119:BC119,"☐ Non")),"")</x:f>
      </x:c>
      <x:c r="BE119" s="84" t="str">
        <x:f>IFERROR((COUNTIF(H119:BD119,"☑ Implémenté")+COUNTIF(H119:BD119,"☑ Oui")+COUNTIF(H119:BD119,"DevOpsFundation")+0.5*COUNTIF(H119:BD119,"◐ Partiel"))/(COUNTIF(H119:BD119,"☑ Implémenté")+COUNTIF(H119:BD119,"☑ Oui")+COUNTIF(H119:BD119,"DevOpsFundation")+COUNTIF(H119:BD119,"◐ Partiel")+COUNTIF(H119:BD119,"☐ Non implémenté")+COUNTIF(H119:BD119,"☐ Non")),"")</x:f>
      </x:c>
      <x:c r="BF119" s="82" t="str">
        <x:f>IF(B119="","",COUNTIF(H119:BD119,"☐ Non implémenté")+COUNTIF(H119:BD119,"☐ Non")+COUNTIF(H119:BD119,"◐ Partiel"))</x:f>
      </x:c>
      <x:c r="BG119" s="82"/>
    </x:row>
    <x:row r="120">
      <x:c r="A120" s="82"/>
      <x:c r="B120" s="82"/>
      <x:c r="C120" s="82"/>
      <x:c r="D120" s="82"/>
      <x:c r="E120" s="82"/>
      <x:c r="F120" s="82"/>
      <x:c r="G120" s="82"/>
      <x:c r="H120" s="82"/>
      <x:c r="I120" s="82"/>
      <x:c r="J120" s="82"/>
      <x:c r="K120" s="82"/>
      <x:c r="L120" s="82"/>
      <x:c r="M120" s="82"/>
      <x:c r="N120" s="82"/>
      <x:c r="O120" s="82"/>
      <x:c r="P120" s="82"/>
      <x:c r="Q120" s="84" t="str">
        <x:f>IFERROR((COUNTIF(H120:P120,"☑ Implémenté")+COUNTIF(H120:P120,"☑ Oui")+0.5*COUNTIF(H120:P120,"◐ Partiel"))/(COUNTIF(H120:P120,"☑ Implémenté")+COUNTIF(H120:P120,"☑ Oui")+COUNTIF(H120:P120,"◐ Partiel")+COUNTIF(H120:P120,"☐ Non implémenté")+COUNTIF(H120:P120,"☐ Non")),"")</x:f>
      </x:c>
      <x:c r="R120" s="82"/>
      <x:c r="S120" s="82"/>
      <x:c r="T120" s="82"/>
      <x:c r="U120" s="82"/>
      <x:c r="V120" s="84" t="str">
        <x:f>IFERROR((COUNTIF(R120:U120,"☑ Implémenté")+COUNTIF(R120:U120,"☑ Oui")+0.5*COUNTIF(R120:U120,"◐ Partiel"))/(COUNTIF(R120:U120,"☑ Implémenté")+COUNTIF(R120:U120,"☑ Oui")+COUNTIF(R120:U120,"◐ Partiel")+COUNTIF(R120:U120,"☐ Non implémenté")+COUNTIF(R120:U120,"☐ Non")),"")</x:f>
      </x:c>
      <x:c r="W120" s="82"/>
      <x:c r="X120" s="82"/>
      <x:c r="Y120" s="84" t="str">
        <x:f>IFERROR((COUNTIF(W120:X120,"☑ Implémenté")+COUNTIF(W120:X120,"☑ Oui")+0.5*COUNTIF(W120:X120,"◐ Partiel"))/(COUNTIF(W120:X120,"☑ Implémenté")+COUNTIF(W120:X120,"☑ Oui")+COUNTIF(W120:X120,"◐ Partiel")+COUNTIF(W120:X120,"☐ Non implémenté")+COUNTIF(W120:X120,"☐ Non")),"")</x:f>
      </x:c>
      <x:c r="Z120" s="82"/>
      <x:c r="AA120" s="82"/>
      <x:c r="AB120" s="82"/>
      <x:c r="AC120" s="82"/>
      <x:c r="AD120" s="82"/>
      <x:c r="AE120" s="82"/>
      <x:c r="AF120" s="82"/>
      <x:c r="AG120" s="84"/>
      <x:c r="AH120" s="82"/>
      <x:c r="AI120" s="82"/>
      <x:c r="AJ120" s="82"/>
      <x:c r="AK120" s="82"/>
      <x:c r="AL120" s="82"/>
      <x:c r="AM120" s="82"/>
      <x:c r="AN120" s="82"/>
      <x:c r="AO120" s="82"/>
      <x:c r="AP120" s="82"/>
      <x:c r="AQ120" s="82"/>
      <x:c r="AR120" s="82"/>
      <x:c r="AS120" s="82"/>
      <x:c r="AT120" s="82"/>
      <x:c r="AU120" s="82"/>
      <x:c r="AV120" s="82"/>
      <x:c r="AW120" s="82"/>
      <x:c r="AX120" s="82"/>
      <x:c r="AY120" s="82"/>
      <x:c r="AZ120" s="82"/>
      <x:c r="BA120" s="82"/>
      <x:c r="BB120" s="82"/>
      <x:c r="BC120" s="82"/>
      <x:c r="BD120" s="84" t="str">
        <x:f>IFERROR((COUNTIF(AZ120:BC120,"☑ Implémenté")+COUNTIF(AZ120:BC120,"☑ Oui")+0.5*COUNTIF(AZ120:BC120,"◐ Partiel"))/(COUNTIF(AZ120:BC120,"☑ Implémenté")+COUNTIF(AZ120:BC120,"☑ Oui")+COUNTIF(AZ120:BC120,"◐ Partiel")+COUNTIF(AZ120:BC120,"☐ Non implémenté")+COUNTIF(AZ120:BC120,"☐ Non")),"")</x:f>
      </x:c>
      <x:c r="BE120" s="84" t="str">
        <x:f>IFERROR((COUNTIF(H120:BD120,"☑ Implémenté")+COUNTIF(H120:BD120,"☑ Oui")+COUNTIF(H120:BD120,"DevOpsFundation")+0.5*COUNTIF(H120:BD120,"◐ Partiel"))/(COUNTIF(H120:BD120,"☑ Implémenté")+COUNTIF(H120:BD120,"☑ Oui")+COUNTIF(H120:BD120,"DevOpsFundation")+COUNTIF(H120:BD120,"◐ Partiel")+COUNTIF(H120:BD120,"☐ Non implémenté")+COUNTIF(H120:BD120,"☐ Non")),"")</x:f>
      </x:c>
      <x:c r="BF120" s="82" t="str">
        <x:f>IF(B120="","",COUNTIF(H120:BD120,"☐ Non implémenté")+COUNTIF(H120:BD120,"☐ Non")+COUNTIF(H120:BD120,"◐ Partiel"))</x:f>
      </x:c>
      <x:c r="BG120" s="82"/>
    </x:row>
    <x:row r="121">
      <x:c r="A121" s="82"/>
      <x:c r="B121" s="82"/>
      <x:c r="C121" s="82"/>
      <x:c r="D121" s="82"/>
      <x:c r="E121" s="82"/>
      <x:c r="F121" s="82"/>
      <x:c r="G121" s="82"/>
      <x:c r="H121" s="82"/>
      <x:c r="I121" s="82"/>
      <x:c r="J121" s="82"/>
      <x:c r="K121" s="82"/>
      <x:c r="L121" s="82"/>
      <x:c r="M121" s="82"/>
      <x:c r="N121" s="82"/>
      <x:c r="O121" s="82"/>
      <x:c r="P121" s="82"/>
      <x:c r="Q121" s="84" t="str">
        <x:f>IFERROR((COUNTIF(H121:P121,"☑ Implémenté")+COUNTIF(H121:P121,"☑ Oui")+0.5*COUNTIF(H121:P121,"◐ Partiel"))/(COUNTIF(H121:P121,"☑ Implémenté")+COUNTIF(H121:P121,"☑ Oui")+COUNTIF(H121:P121,"◐ Partiel")+COUNTIF(H121:P121,"☐ Non implémenté")+COUNTIF(H121:P121,"☐ Non")),"")</x:f>
      </x:c>
      <x:c r="R121" s="82"/>
      <x:c r="S121" s="82"/>
      <x:c r="T121" s="82"/>
      <x:c r="U121" s="82"/>
      <x:c r="V121" s="84" t="str">
        <x:f>IFERROR((COUNTIF(R121:U121,"☑ Implémenté")+COUNTIF(R121:U121,"☑ Oui")+0.5*COUNTIF(R121:U121,"◐ Partiel"))/(COUNTIF(R121:U121,"☑ Implémenté")+COUNTIF(R121:U121,"☑ Oui")+COUNTIF(R121:U121,"◐ Partiel")+COUNTIF(R121:U121,"☐ Non implémenté")+COUNTIF(R121:U121,"☐ Non")),"")</x:f>
      </x:c>
      <x:c r="W121" s="82"/>
      <x:c r="X121" s="82"/>
      <x:c r="Y121" s="84" t="str">
        <x:f>IFERROR((COUNTIF(W121:X121,"☑ Implémenté")+COUNTIF(W121:X121,"☑ Oui")+0.5*COUNTIF(W121:X121,"◐ Partiel"))/(COUNTIF(W121:X121,"☑ Implémenté")+COUNTIF(W121:X121,"☑ Oui")+COUNTIF(W121:X121,"◐ Partiel")+COUNTIF(W121:X121,"☐ Non implémenté")+COUNTIF(W121:X121,"☐ Non")),"")</x:f>
      </x:c>
      <x:c r="Z121" s="82"/>
      <x:c r="AA121" s="82"/>
      <x:c r="AB121" s="82"/>
      <x:c r="AC121" s="82"/>
      <x:c r="AD121" s="82"/>
      <x:c r="AE121" s="82"/>
      <x:c r="AF121" s="82"/>
      <x:c r="AG121" s="84"/>
      <x:c r="AH121" s="82"/>
      <x:c r="AI121" s="82"/>
      <x:c r="AJ121" s="82"/>
      <x:c r="AK121" s="82"/>
      <x:c r="AL121" s="82"/>
      <x:c r="AM121" s="82"/>
      <x:c r="AN121" s="82"/>
      <x:c r="AO121" s="82"/>
      <x:c r="AP121" s="82"/>
      <x:c r="AQ121" s="82"/>
      <x:c r="AR121" s="82"/>
      <x:c r="AS121" s="82"/>
      <x:c r="AT121" s="82"/>
      <x:c r="AU121" s="82"/>
      <x:c r="AV121" s="82"/>
      <x:c r="AW121" s="82"/>
      <x:c r="AX121" s="82"/>
      <x:c r="AY121" s="82"/>
      <x:c r="AZ121" s="82"/>
      <x:c r="BA121" s="82"/>
      <x:c r="BB121" s="82"/>
      <x:c r="BC121" s="82"/>
      <x:c r="BD121" s="84" t="str">
        <x:f>IFERROR((COUNTIF(AZ121:BC121,"☑ Implémenté")+COUNTIF(AZ121:BC121,"☑ Oui")+0.5*COUNTIF(AZ121:BC121,"◐ Partiel"))/(COUNTIF(AZ121:BC121,"☑ Implémenté")+COUNTIF(AZ121:BC121,"☑ Oui")+COUNTIF(AZ121:BC121,"◐ Partiel")+COUNTIF(AZ121:BC121,"☐ Non implémenté")+COUNTIF(AZ121:BC121,"☐ Non")),"")</x:f>
      </x:c>
      <x:c r="BE121" s="84" t="str">
        <x:f>IFERROR((COUNTIF(H121:BD121,"☑ Implémenté")+COUNTIF(H121:BD121,"☑ Oui")+COUNTIF(H121:BD121,"DevOpsFundation")+0.5*COUNTIF(H121:BD121,"◐ Partiel"))/(COUNTIF(H121:BD121,"☑ Implémenté")+COUNTIF(H121:BD121,"☑ Oui")+COUNTIF(H121:BD121,"DevOpsFundation")+COUNTIF(H121:BD121,"◐ Partiel")+COUNTIF(H121:BD121,"☐ Non implémenté")+COUNTIF(H121:BD121,"☐ Non")),"")</x:f>
      </x:c>
      <x:c r="BF121" s="82" t="str">
        <x:f>IF(B121="","",COUNTIF(H121:BD121,"☐ Non implémenté")+COUNTIF(H121:BD121,"☐ Non")+COUNTIF(H121:BD121,"◐ Partiel"))</x:f>
      </x:c>
      <x:c r="BG121" s="82"/>
    </x:row>
    <x:row r="122">
      <x:c r="A122" s="82"/>
      <x:c r="B122" s="82"/>
      <x:c r="C122" s="82"/>
      <x:c r="D122" s="82"/>
      <x:c r="E122" s="82"/>
      <x:c r="F122" s="82"/>
      <x:c r="G122" s="82"/>
      <x:c r="H122" s="82"/>
      <x:c r="I122" s="82"/>
      <x:c r="J122" s="82"/>
      <x:c r="K122" s="82"/>
      <x:c r="L122" s="82"/>
      <x:c r="M122" s="82"/>
      <x:c r="N122" s="82"/>
      <x:c r="O122" s="82"/>
      <x:c r="P122" s="82"/>
      <x:c r="Q122" s="84" t="str">
        <x:f>IFERROR((COUNTIF(H122:P122,"☑ Implémenté")+COUNTIF(H122:P122,"☑ Oui")+0.5*COUNTIF(H122:P122,"◐ Partiel"))/(COUNTIF(H122:P122,"☑ Implémenté")+COUNTIF(H122:P122,"☑ Oui")+COUNTIF(H122:P122,"◐ Partiel")+COUNTIF(H122:P122,"☐ Non implémenté")+COUNTIF(H122:P122,"☐ Non")),"")</x:f>
      </x:c>
      <x:c r="R122" s="82"/>
      <x:c r="S122" s="82"/>
      <x:c r="T122" s="82"/>
      <x:c r="U122" s="82"/>
      <x:c r="V122" s="84" t="str">
        <x:f>IFERROR((COUNTIF(R122:U122,"☑ Implémenté")+COUNTIF(R122:U122,"☑ Oui")+0.5*COUNTIF(R122:U122,"◐ Partiel"))/(COUNTIF(R122:U122,"☑ Implémenté")+COUNTIF(R122:U122,"☑ Oui")+COUNTIF(R122:U122,"◐ Partiel")+COUNTIF(R122:U122,"☐ Non implémenté")+COUNTIF(R122:U122,"☐ Non")),"")</x:f>
      </x:c>
      <x:c r="W122" s="82"/>
      <x:c r="X122" s="82"/>
      <x:c r="Y122" s="84" t="str">
        <x:f>IFERROR((COUNTIF(W122:X122,"☑ Implémenté")+COUNTIF(W122:X122,"☑ Oui")+0.5*COUNTIF(W122:X122,"◐ Partiel"))/(COUNTIF(W122:X122,"☑ Implémenté")+COUNTIF(W122:X122,"☑ Oui")+COUNTIF(W122:X122,"◐ Partiel")+COUNTIF(W122:X122,"☐ Non implémenté")+COUNTIF(W122:X122,"☐ Non")),"")</x:f>
      </x:c>
      <x:c r="Z122" s="82"/>
      <x:c r="AA122" s="82"/>
      <x:c r="AB122" s="82"/>
      <x:c r="AC122" s="82"/>
      <x:c r="AD122" s="82"/>
      <x:c r="AE122" s="82"/>
      <x:c r="AF122" s="82"/>
      <x:c r="AG122" s="84"/>
      <x:c r="AH122" s="82"/>
      <x:c r="AI122" s="82"/>
      <x:c r="AJ122" s="82"/>
      <x:c r="AK122" s="82"/>
      <x:c r="AL122" s="82"/>
      <x:c r="AM122" s="82"/>
      <x:c r="AN122" s="82"/>
      <x:c r="AO122" s="82"/>
      <x:c r="AP122" s="82"/>
      <x:c r="AQ122" s="82"/>
      <x:c r="AR122" s="82"/>
      <x:c r="AS122" s="82"/>
      <x:c r="AT122" s="82"/>
      <x:c r="AU122" s="82"/>
      <x:c r="AV122" s="82"/>
      <x:c r="AW122" s="82"/>
      <x:c r="AX122" s="82"/>
      <x:c r="AY122" s="82"/>
      <x:c r="AZ122" s="82"/>
      <x:c r="BA122" s="82"/>
      <x:c r="BB122" s="82"/>
      <x:c r="BC122" s="82"/>
      <x:c r="BD122" s="84" t="str">
        <x:f>IFERROR((COUNTIF(AZ122:BC122,"☑ Implémenté")+COUNTIF(AZ122:BC122,"☑ Oui")+0.5*COUNTIF(AZ122:BC122,"◐ Partiel"))/(COUNTIF(AZ122:BC122,"☑ Implémenté")+COUNTIF(AZ122:BC122,"☑ Oui")+COUNTIF(AZ122:BC122,"◐ Partiel")+COUNTIF(AZ122:BC122,"☐ Non implémenté")+COUNTIF(AZ122:BC122,"☐ Non")),"")</x:f>
      </x:c>
      <x:c r="BE122" s="84" t="str">
        <x:f>IFERROR((COUNTIF(H122:BD122,"☑ Implémenté")+COUNTIF(H122:BD122,"☑ Oui")+COUNTIF(H122:BD122,"DevOpsFundation")+0.5*COUNTIF(H122:BD122,"◐ Partiel"))/(COUNTIF(H122:BD122,"☑ Implémenté")+COUNTIF(H122:BD122,"☑ Oui")+COUNTIF(H122:BD122,"DevOpsFundation")+COUNTIF(H122:BD122,"◐ Partiel")+COUNTIF(H122:BD122,"☐ Non implémenté")+COUNTIF(H122:BD122,"☐ Non")),"")</x:f>
      </x:c>
      <x:c r="BF122" s="82" t="str">
        <x:f>IF(B122="","",COUNTIF(H122:BD122,"☐ Non implémenté")+COUNTIF(H122:BD122,"☐ Non")+COUNTIF(H122:BD122,"◐ Partiel"))</x:f>
      </x:c>
      <x:c r="BG122" s="82"/>
    </x:row>
    <x:row r="123">
      <x:c r="A123" s="82"/>
      <x:c r="B123" s="82"/>
      <x:c r="C123" s="82"/>
      <x:c r="D123" s="82"/>
      <x:c r="E123" s="82"/>
      <x:c r="F123" s="82"/>
      <x:c r="G123" s="82"/>
      <x:c r="H123" s="82"/>
      <x:c r="I123" s="82"/>
      <x:c r="J123" s="82"/>
      <x:c r="K123" s="82"/>
      <x:c r="L123" s="82"/>
      <x:c r="M123" s="82"/>
      <x:c r="N123" s="82"/>
      <x:c r="O123" s="82"/>
      <x:c r="P123" s="82"/>
      <x:c r="Q123" s="84" t="str">
        <x:f>IFERROR((COUNTIF(H123:P123,"☑ Implémenté")+COUNTIF(H123:P123,"☑ Oui")+0.5*COUNTIF(H123:P123,"◐ Partiel"))/(COUNTIF(H123:P123,"☑ Implémenté")+COUNTIF(H123:P123,"☑ Oui")+COUNTIF(H123:P123,"◐ Partiel")+COUNTIF(H123:P123,"☐ Non implémenté")+COUNTIF(H123:P123,"☐ Non")),"")</x:f>
      </x:c>
      <x:c r="R123" s="82"/>
      <x:c r="S123" s="82"/>
      <x:c r="T123" s="82"/>
      <x:c r="U123" s="82"/>
      <x:c r="V123" s="84" t="str">
        <x:f>IFERROR((COUNTIF(R123:U123,"☑ Implémenté")+COUNTIF(R123:U123,"☑ Oui")+0.5*COUNTIF(R123:U123,"◐ Partiel"))/(COUNTIF(R123:U123,"☑ Implémenté")+COUNTIF(R123:U123,"☑ Oui")+COUNTIF(R123:U123,"◐ Partiel")+COUNTIF(R123:U123,"☐ Non implémenté")+COUNTIF(R123:U123,"☐ Non")),"")</x:f>
      </x:c>
      <x:c r="W123" s="82"/>
      <x:c r="X123" s="82"/>
      <x:c r="Y123" s="84" t="str">
        <x:f>IFERROR((COUNTIF(W123:X123,"☑ Implémenté")+COUNTIF(W123:X123,"☑ Oui")+0.5*COUNTIF(W123:X123,"◐ Partiel"))/(COUNTIF(W123:X123,"☑ Implémenté")+COUNTIF(W123:X123,"☑ Oui")+COUNTIF(W123:X123,"◐ Partiel")+COUNTIF(W123:X123,"☐ Non implémenté")+COUNTIF(W123:X123,"☐ Non")),"")</x:f>
      </x:c>
      <x:c r="Z123" s="82"/>
      <x:c r="AA123" s="82"/>
      <x:c r="AB123" s="82"/>
      <x:c r="AC123" s="82"/>
      <x:c r="AD123" s="82"/>
      <x:c r="AE123" s="82"/>
      <x:c r="AF123" s="82"/>
      <x:c r="AG123" s="84"/>
      <x:c r="AH123" s="82"/>
      <x:c r="AI123" s="82"/>
      <x:c r="AJ123" s="82"/>
      <x:c r="AK123" s="82"/>
      <x:c r="AL123" s="82"/>
      <x:c r="AM123" s="82"/>
      <x:c r="AN123" s="82"/>
      <x:c r="AO123" s="82"/>
      <x:c r="AP123" s="82"/>
      <x:c r="AQ123" s="82"/>
      <x:c r="AR123" s="82"/>
      <x:c r="AS123" s="82"/>
      <x:c r="AT123" s="82"/>
      <x:c r="AU123" s="82"/>
      <x:c r="AV123" s="82"/>
      <x:c r="AW123" s="82"/>
      <x:c r="AX123" s="82"/>
      <x:c r="AY123" s="82"/>
      <x:c r="AZ123" s="82"/>
      <x:c r="BA123" s="82"/>
      <x:c r="BB123" s="82"/>
      <x:c r="BC123" s="82"/>
      <x:c r="BD123" s="84" t="str">
        <x:f>IFERROR((COUNTIF(AZ123:BC123,"☑ Implémenté")+COUNTIF(AZ123:BC123,"☑ Oui")+0.5*COUNTIF(AZ123:BC123,"◐ Partiel"))/(COUNTIF(AZ123:BC123,"☑ Implémenté")+COUNTIF(AZ123:BC123,"☑ Oui")+COUNTIF(AZ123:BC123,"◐ Partiel")+COUNTIF(AZ123:BC123,"☐ Non implémenté")+COUNTIF(AZ123:BC123,"☐ Non")),"")</x:f>
      </x:c>
      <x:c r="BE123" s="84" t="str">
        <x:f>IFERROR((COUNTIF(H123:BD123,"☑ Implémenté")+COUNTIF(H123:BD123,"☑ Oui")+COUNTIF(H123:BD123,"DevOpsFundation")+0.5*COUNTIF(H123:BD123,"◐ Partiel"))/(COUNTIF(H123:BD123,"☑ Implémenté")+COUNTIF(H123:BD123,"☑ Oui")+COUNTIF(H123:BD123,"DevOpsFundation")+COUNTIF(H123:BD123,"◐ Partiel")+COUNTIF(H123:BD123,"☐ Non implémenté")+COUNTIF(H123:BD123,"☐ Non")),"")</x:f>
      </x:c>
      <x:c r="BF123" s="82" t="str">
        <x:f>IF(B123="","",COUNTIF(H123:BD123,"☐ Non implémenté")+COUNTIF(H123:BD123,"☐ Non")+COUNTIF(H123:BD123,"◐ Partiel"))</x:f>
      </x:c>
      <x:c r="BG123" s="82"/>
    </x:row>
    <x:row r="124">
      <x:c r="A124" s="82"/>
      <x:c r="B124" s="82"/>
      <x:c r="C124" s="82"/>
      <x:c r="D124" s="82"/>
      <x:c r="E124" s="82"/>
      <x:c r="F124" s="82"/>
      <x:c r="G124" s="82"/>
      <x:c r="H124" s="82"/>
      <x:c r="I124" s="82"/>
      <x:c r="J124" s="82"/>
      <x:c r="K124" s="82"/>
      <x:c r="L124" s="82"/>
      <x:c r="M124" s="82"/>
      <x:c r="N124" s="82"/>
      <x:c r="O124" s="82"/>
      <x:c r="P124" s="82"/>
      <x:c r="Q124" s="84" t="str">
        <x:f>IFERROR((COUNTIF(H124:P124,"☑ Implémenté")+COUNTIF(H124:P124,"☑ Oui")+0.5*COUNTIF(H124:P124,"◐ Partiel"))/(COUNTIF(H124:P124,"☑ Implémenté")+COUNTIF(H124:P124,"☑ Oui")+COUNTIF(H124:P124,"◐ Partiel")+COUNTIF(H124:P124,"☐ Non implémenté")+COUNTIF(H124:P124,"☐ Non")),"")</x:f>
      </x:c>
      <x:c r="R124" s="82"/>
      <x:c r="S124" s="82"/>
      <x:c r="T124" s="82"/>
      <x:c r="U124" s="82"/>
      <x:c r="V124" s="84" t="str">
        <x:f>IFERROR((COUNTIF(R124:U124,"☑ Implémenté")+COUNTIF(R124:U124,"☑ Oui")+0.5*COUNTIF(R124:U124,"◐ Partiel"))/(COUNTIF(R124:U124,"☑ Implémenté")+COUNTIF(R124:U124,"☑ Oui")+COUNTIF(R124:U124,"◐ Partiel")+COUNTIF(R124:U124,"☐ Non implémenté")+COUNTIF(R124:U124,"☐ Non")),"")</x:f>
      </x:c>
      <x:c r="W124" s="82"/>
      <x:c r="X124" s="82"/>
      <x:c r="Y124" s="84" t="str">
        <x:f>IFERROR((COUNTIF(W124:X124,"☑ Implémenté")+COUNTIF(W124:X124,"☑ Oui")+0.5*COUNTIF(W124:X124,"◐ Partiel"))/(COUNTIF(W124:X124,"☑ Implémenté")+COUNTIF(W124:X124,"☑ Oui")+COUNTIF(W124:X124,"◐ Partiel")+COUNTIF(W124:X124,"☐ Non implémenté")+COUNTIF(W124:X124,"☐ Non")),"")</x:f>
      </x:c>
      <x:c r="Z124" s="82"/>
      <x:c r="AA124" s="82"/>
      <x:c r="AB124" s="82"/>
      <x:c r="AC124" s="82"/>
      <x:c r="AD124" s="82"/>
      <x:c r="AE124" s="82"/>
      <x:c r="AF124" s="82"/>
      <x:c r="AG124" s="84"/>
      <x:c r="AH124" s="82"/>
      <x:c r="AI124" s="82"/>
      <x:c r="AJ124" s="82"/>
      <x:c r="AK124" s="82"/>
      <x:c r="AL124" s="82"/>
      <x:c r="AM124" s="82"/>
      <x:c r="AN124" s="82"/>
      <x:c r="AO124" s="82"/>
      <x:c r="AP124" s="82"/>
      <x:c r="AQ124" s="82"/>
      <x:c r="AR124" s="82"/>
      <x:c r="AS124" s="82"/>
      <x:c r="AT124" s="82"/>
      <x:c r="AU124" s="82"/>
      <x:c r="AV124" s="82"/>
      <x:c r="AW124" s="82"/>
      <x:c r="AX124" s="82"/>
      <x:c r="AY124" s="82"/>
      <x:c r="AZ124" s="82"/>
      <x:c r="BA124" s="82"/>
      <x:c r="BB124" s="82"/>
      <x:c r="BC124" s="82"/>
      <x:c r="BD124" s="84" t="str">
        <x:f>IFERROR((COUNTIF(AZ124:BC124,"☑ Implémenté")+COUNTIF(AZ124:BC124,"☑ Oui")+0.5*COUNTIF(AZ124:BC124,"◐ Partiel"))/(COUNTIF(AZ124:BC124,"☑ Implémenté")+COUNTIF(AZ124:BC124,"☑ Oui")+COUNTIF(AZ124:BC124,"◐ Partiel")+COUNTIF(AZ124:BC124,"☐ Non implémenté")+COUNTIF(AZ124:BC124,"☐ Non")),"")</x:f>
      </x:c>
      <x:c r="BE124" s="84" t="str">
        <x:f>IFERROR((COUNTIF(H124:BD124,"☑ Implémenté")+COUNTIF(H124:BD124,"☑ Oui")+COUNTIF(H124:BD124,"DevOpsFundation")+0.5*COUNTIF(H124:BD124,"◐ Partiel"))/(COUNTIF(H124:BD124,"☑ Implémenté")+COUNTIF(H124:BD124,"☑ Oui")+COUNTIF(H124:BD124,"DevOpsFundation")+COUNTIF(H124:BD124,"◐ Partiel")+COUNTIF(H124:BD124,"☐ Non implémenté")+COUNTIF(H124:BD124,"☐ Non")),"")</x:f>
      </x:c>
      <x:c r="BF124" s="82" t="str">
        <x:f>IF(B124="","",COUNTIF(H124:BD124,"☐ Non implémenté")+COUNTIF(H124:BD124,"☐ Non")+COUNTIF(H124:BD124,"◐ Partiel"))</x:f>
      </x:c>
      <x:c r="BG124" s="82"/>
    </x:row>
    <x:row r="125">
      <x:c r="A125" s="82"/>
      <x:c r="B125" s="82"/>
      <x:c r="C125" s="82"/>
      <x:c r="D125" s="82"/>
      <x:c r="E125" s="82"/>
      <x:c r="F125" s="82"/>
      <x:c r="G125" s="82"/>
      <x:c r="H125" s="82"/>
      <x:c r="I125" s="82"/>
      <x:c r="J125" s="82"/>
      <x:c r="K125" s="82"/>
      <x:c r="L125" s="82"/>
      <x:c r="M125" s="82"/>
      <x:c r="N125" s="82"/>
      <x:c r="O125" s="82"/>
      <x:c r="P125" s="82"/>
      <x:c r="Q125" s="84" t="str">
        <x:f>IFERROR((COUNTIF(H125:P125,"☑ Implémenté")+COUNTIF(H125:P125,"☑ Oui")+0.5*COUNTIF(H125:P125,"◐ Partiel"))/(COUNTIF(H125:P125,"☑ Implémenté")+COUNTIF(H125:P125,"☑ Oui")+COUNTIF(H125:P125,"◐ Partiel")+COUNTIF(H125:P125,"☐ Non implémenté")+COUNTIF(H125:P125,"☐ Non")),"")</x:f>
      </x:c>
      <x:c r="R125" s="82"/>
      <x:c r="S125" s="82"/>
      <x:c r="T125" s="82"/>
      <x:c r="U125" s="82"/>
      <x:c r="V125" s="84" t="str">
        <x:f>IFERROR((COUNTIF(R125:U125,"☑ Implémenté")+COUNTIF(R125:U125,"☑ Oui")+0.5*COUNTIF(R125:U125,"◐ Partiel"))/(COUNTIF(R125:U125,"☑ Implémenté")+COUNTIF(R125:U125,"☑ Oui")+COUNTIF(R125:U125,"◐ Partiel")+COUNTIF(R125:U125,"☐ Non implémenté")+COUNTIF(R125:U125,"☐ Non")),"")</x:f>
      </x:c>
      <x:c r="W125" s="82"/>
      <x:c r="X125" s="82"/>
      <x:c r="Y125" s="84" t="str">
        <x:f>IFERROR((COUNTIF(W125:X125,"☑ Implémenté")+COUNTIF(W125:X125,"☑ Oui")+0.5*COUNTIF(W125:X125,"◐ Partiel"))/(COUNTIF(W125:X125,"☑ Implémenté")+COUNTIF(W125:X125,"☑ Oui")+COUNTIF(W125:X125,"◐ Partiel")+COUNTIF(W125:X125,"☐ Non implémenté")+COUNTIF(W125:X125,"☐ Non")),"")</x:f>
      </x:c>
      <x:c r="Z125" s="82"/>
      <x:c r="AA125" s="82"/>
      <x:c r="AB125" s="82"/>
      <x:c r="AC125" s="82"/>
      <x:c r="AD125" s="82"/>
      <x:c r="AE125" s="82"/>
      <x:c r="AF125" s="82"/>
      <x:c r="AG125" s="84"/>
      <x:c r="AH125" s="82"/>
      <x:c r="AI125" s="82"/>
      <x:c r="AJ125" s="82"/>
      <x:c r="AK125" s="82"/>
      <x:c r="AL125" s="82"/>
      <x:c r="AM125" s="82"/>
      <x:c r="AN125" s="82"/>
      <x:c r="AO125" s="82"/>
      <x:c r="AP125" s="82"/>
      <x:c r="AQ125" s="82"/>
      <x:c r="AR125" s="82"/>
      <x:c r="AS125" s="82"/>
      <x:c r="AT125" s="82"/>
      <x:c r="AU125" s="82"/>
      <x:c r="AV125" s="82"/>
      <x:c r="AW125" s="82"/>
      <x:c r="AX125" s="82"/>
      <x:c r="AY125" s="82"/>
      <x:c r="AZ125" s="82"/>
      <x:c r="BA125" s="82"/>
      <x:c r="BB125" s="82"/>
      <x:c r="BC125" s="82"/>
      <x:c r="BD125" s="84" t="str">
        <x:f>IFERROR((COUNTIF(AZ125:BC125,"☑ Implémenté")+COUNTIF(AZ125:BC125,"☑ Oui")+0.5*COUNTIF(AZ125:BC125,"◐ Partiel"))/(COUNTIF(AZ125:BC125,"☑ Implémenté")+COUNTIF(AZ125:BC125,"☑ Oui")+COUNTIF(AZ125:BC125,"◐ Partiel")+COUNTIF(AZ125:BC125,"☐ Non implémenté")+COUNTIF(AZ125:BC125,"☐ Non")),"")</x:f>
      </x:c>
      <x:c r="BE125" s="84" t="str">
        <x:f>IFERROR((COUNTIF(H125:BD125,"☑ Implémenté")+COUNTIF(H125:BD125,"☑ Oui")+COUNTIF(H125:BD125,"DevOpsFundation")+0.5*COUNTIF(H125:BD125,"◐ Partiel"))/(COUNTIF(H125:BD125,"☑ Implémenté")+COUNTIF(H125:BD125,"☑ Oui")+COUNTIF(H125:BD125,"DevOpsFundation")+COUNTIF(H125:BD125,"◐ Partiel")+COUNTIF(H125:BD125,"☐ Non implémenté")+COUNTIF(H125:BD125,"☐ Non")),"")</x:f>
      </x:c>
      <x:c r="BF125" s="82" t="str">
        <x:f>IF(B125="","",COUNTIF(H125:BD125,"☐ Non implémenté")+COUNTIF(H125:BD125,"☐ Non")+COUNTIF(H125:BD125,"◐ Partiel"))</x:f>
      </x:c>
      <x:c r="BG125" s="82"/>
    </x:row>
    <x:row r="126">
      <x:c r="A126" s="82"/>
      <x:c r="B126" s="82"/>
      <x:c r="C126" s="82"/>
      <x:c r="D126" s="82"/>
      <x:c r="E126" s="82"/>
      <x:c r="F126" s="82"/>
      <x:c r="G126" s="82"/>
      <x:c r="H126" s="82"/>
      <x:c r="I126" s="82"/>
      <x:c r="J126" s="82"/>
      <x:c r="K126" s="82"/>
      <x:c r="L126" s="82"/>
      <x:c r="M126" s="82"/>
      <x:c r="N126" s="82"/>
      <x:c r="O126" s="82"/>
      <x:c r="P126" s="82"/>
      <x:c r="Q126" s="84" t="str">
        <x:f>IFERROR((COUNTIF(H126:P126,"☑ Implémenté")+COUNTIF(H126:P126,"☑ Oui")+0.5*COUNTIF(H126:P126,"◐ Partiel"))/(COUNTIF(H126:P126,"☑ Implémenté")+COUNTIF(H126:P126,"☑ Oui")+COUNTIF(H126:P126,"◐ Partiel")+COUNTIF(H126:P126,"☐ Non implémenté")+COUNTIF(H126:P126,"☐ Non")),"")</x:f>
      </x:c>
      <x:c r="R126" s="82"/>
      <x:c r="S126" s="82"/>
      <x:c r="T126" s="82"/>
      <x:c r="U126" s="82"/>
      <x:c r="V126" s="84" t="str">
        <x:f>IFERROR((COUNTIF(R126:U126,"☑ Implémenté")+COUNTIF(R126:U126,"☑ Oui")+0.5*COUNTIF(R126:U126,"◐ Partiel"))/(COUNTIF(R126:U126,"☑ Implémenté")+COUNTIF(R126:U126,"☑ Oui")+COUNTIF(R126:U126,"◐ Partiel")+COUNTIF(R126:U126,"☐ Non implémenté")+COUNTIF(R126:U126,"☐ Non")),"")</x:f>
      </x:c>
      <x:c r="W126" s="82"/>
      <x:c r="X126" s="82"/>
      <x:c r="Y126" s="84" t="str">
        <x:f>IFERROR((COUNTIF(W126:X126,"☑ Implémenté")+COUNTIF(W126:X126,"☑ Oui")+0.5*COUNTIF(W126:X126,"◐ Partiel"))/(COUNTIF(W126:X126,"☑ Implémenté")+COUNTIF(W126:X126,"☑ Oui")+COUNTIF(W126:X126,"◐ Partiel")+COUNTIF(W126:X126,"☐ Non implémenté")+COUNTIF(W126:X126,"☐ Non")),"")</x:f>
      </x:c>
      <x:c r="Z126" s="82"/>
      <x:c r="AA126" s="82"/>
      <x:c r="AB126" s="82"/>
      <x:c r="AC126" s="82"/>
      <x:c r="AD126" s="82"/>
      <x:c r="AE126" s="82"/>
      <x:c r="AF126" s="82"/>
      <x:c r="AG126" s="84"/>
      <x:c r="AH126" s="82"/>
      <x:c r="AI126" s="82"/>
      <x:c r="AJ126" s="82"/>
      <x:c r="AK126" s="82"/>
      <x:c r="AL126" s="82"/>
      <x:c r="AM126" s="82"/>
      <x:c r="AN126" s="82"/>
      <x:c r="AO126" s="82"/>
      <x:c r="AP126" s="82"/>
      <x:c r="AQ126" s="82"/>
      <x:c r="AR126" s="82"/>
      <x:c r="AS126" s="82"/>
      <x:c r="AT126" s="82"/>
      <x:c r="AU126" s="82"/>
      <x:c r="AV126" s="82"/>
      <x:c r="AW126" s="82"/>
      <x:c r="AX126" s="82"/>
      <x:c r="AY126" s="82"/>
      <x:c r="AZ126" s="82"/>
      <x:c r="BA126" s="82"/>
      <x:c r="BB126" s="82"/>
      <x:c r="BC126" s="82"/>
      <x:c r="BD126" s="84" t="str">
        <x:f>IFERROR((COUNTIF(AZ126:BC126,"☑ Implémenté")+COUNTIF(AZ126:BC126,"☑ Oui")+0.5*COUNTIF(AZ126:BC126,"◐ Partiel"))/(COUNTIF(AZ126:BC126,"☑ Implémenté")+COUNTIF(AZ126:BC126,"☑ Oui")+COUNTIF(AZ126:BC126,"◐ Partiel")+COUNTIF(AZ126:BC126,"☐ Non implémenté")+COUNTIF(AZ126:BC126,"☐ Non")),"")</x:f>
      </x:c>
      <x:c r="BE126" s="84" t="str">
        <x:f>IFERROR((COUNTIF(H126:BD126,"☑ Implémenté")+COUNTIF(H126:BD126,"☑ Oui")+COUNTIF(H126:BD126,"DevOpsFundation")+0.5*COUNTIF(H126:BD126,"◐ Partiel"))/(COUNTIF(H126:BD126,"☑ Implémenté")+COUNTIF(H126:BD126,"☑ Oui")+COUNTIF(H126:BD126,"DevOpsFundation")+COUNTIF(H126:BD126,"◐ Partiel")+COUNTIF(H126:BD126,"☐ Non implémenté")+COUNTIF(H126:BD126,"☐ Non")),"")</x:f>
      </x:c>
      <x:c r="BF126" s="82" t="str">
        <x:f>IF(B126="","",COUNTIF(H126:BD126,"☐ Non implémenté")+COUNTIF(H126:BD126,"☐ Non")+COUNTIF(H126:BD126,"◐ Partiel"))</x:f>
      </x:c>
      <x:c r="BG126" s="82"/>
    </x:row>
    <x:row r="127">
      <x:c r="A127" s="82"/>
      <x:c r="B127" s="82"/>
      <x:c r="C127" s="82"/>
      <x:c r="D127" s="82"/>
      <x:c r="E127" s="82"/>
      <x:c r="F127" s="82"/>
      <x:c r="G127" s="82"/>
      <x:c r="H127" s="82"/>
      <x:c r="I127" s="82"/>
      <x:c r="J127" s="82"/>
      <x:c r="K127" s="82"/>
      <x:c r="L127" s="82"/>
      <x:c r="M127" s="82"/>
      <x:c r="N127" s="82"/>
      <x:c r="O127" s="82"/>
      <x:c r="P127" s="82"/>
      <x:c r="Q127" s="84" t="str">
        <x:f>IFERROR((COUNTIF(H127:P127,"☑ Implémenté")+COUNTIF(H127:P127,"☑ Oui")+0.5*COUNTIF(H127:P127,"◐ Partiel"))/(COUNTIF(H127:P127,"☑ Implémenté")+COUNTIF(H127:P127,"☑ Oui")+COUNTIF(H127:P127,"◐ Partiel")+COUNTIF(H127:P127,"☐ Non implémenté")+COUNTIF(H127:P127,"☐ Non")),"")</x:f>
      </x:c>
      <x:c r="R127" s="82"/>
      <x:c r="S127" s="82"/>
      <x:c r="T127" s="82"/>
      <x:c r="U127" s="82"/>
      <x:c r="V127" s="84" t="str">
        <x:f>IFERROR((COUNTIF(R127:U127,"☑ Implémenté")+COUNTIF(R127:U127,"☑ Oui")+0.5*COUNTIF(R127:U127,"◐ Partiel"))/(COUNTIF(R127:U127,"☑ Implémenté")+COUNTIF(R127:U127,"☑ Oui")+COUNTIF(R127:U127,"◐ Partiel")+COUNTIF(R127:U127,"☐ Non implémenté")+COUNTIF(R127:U127,"☐ Non")),"")</x:f>
      </x:c>
      <x:c r="W127" s="82"/>
      <x:c r="X127" s="82"/>
      <x:c r="Y127" s="84" t="str">
        <x:f>IFERROR((COUNTIF(W127:X127,"☑ Implémenté")+COUNTIF(W127:X127,"☑ Oui")+0.5*COUNTIF(W127:X127,"◐ Partiel"))/(COUNTIF(W127:X127,"☑ Implémenté")+COUNTIF(W127:X127,"☑ Oui")+COUNTIF(W127:X127,"◐ Partiel")+COUNTIF(W127:X127,"☐ Non implémenté")+COUNTIF(W127:X127,"☐ Non")),"")</x:f>
      </x:c>
      <x:c r="Z127" s="82"/>
      <x:c r="AA127" s="82"/>
      <x:c r="AB127" s="82"/>
      <x:c r="AC127" s="82"/>
      <x:c r="AD127" s="82"/>
      <x:c r="AE127" s="82"/>
      <x:c r="AF127" s="82"/>
      <x:c r="AG127" s="84"/>
      <x:c r="AH127" s="82"/>
      <x:c r="AI127" s="82"/>
      <x:c r="AJ127" s="82"/>
      <x:c r="AK127" s="82"/>
      <x:c r="AL127" s="82"/>
      <x:c r="AM127" s="82"/>
      <x:c r="AN127" s="82"/>
      <x:c r="AO127" s="82"/>
      <x:c r="AP127" s="82"/>
      <x:c r="AQ127" s="82"/>
      <x:c r="AR127" s="82"/>
      <x:c r="AS127" s="82"/>
      <x:c r="AT127" s="82"/>
      <x:c r="AU127" s="82"/>
      <x:c r="AV127" s="82"/>
      <x:c r="AW127" s="82"/>
      <x:c r="AX127" s="82"/>
      <x:c r="AY127" s="82"/>
      <x:c r="AZ127" s="82"/>
      <x:c r="BA127" s="82"/>
      <x:c r="BB127" s="82"/>
      <x:c r="BC127" s="82"/>
      <x:c r="BD127" s="84" t="str">
        <x:f>IFERROR((COUNTIF(AZ127:BC127,"☑ Implémenté")+COUNTIF(AZ127:BC127,"☑ Oui")+0.5*COUNTIF(AZ127:BC127,"◐ Partiel"))/(COUNTIF(AZ127:BC127,"☑ Implémenté")+COUNTIF(AZ127:BC127,"☑ Oui")+COUNTIF(AZ127:BC127,"◐ Partiel")+COUNTIF(AZ127:BC127,"☐ Non implémenté")+COUNTIF(AZ127:BC127,"☐ Non")),"")</x:f>
      </x:c>
      <x:c r="BE127" s="84" t="str">
        <x:f>IFERROR((COUNTIF(H127:BD127,"☑ Implémenté")+COUNTIF(H127:BD127,"☑ Oui")+COUNTIF(H127:BD127,"DevOpsFundation")+0.5*COUNTIF(H127:BD127,"◐ Partiel"))/(COUNTIF(H127:BD127,"☑ Implémenté")+COUNTIF(H127:BD127,"☑ Oui")+COUNTIF(H127:BD127,"DevOpsFundation")+COUNTIF(H127:BD127,"◐ Partiel")+COUNTIF(H127:BD127,"☐ Non implémenté")+COUNTIF(H127:BD127,"☐ Non")),"")</x:f>
      </x:c>
      <x:c r="BF127" s="82" t="str">
        <x:f>IF(B127="","",COUNTIF(H127:BD127,"☐ Non implémenté")+COUNTIF(H127:BD127,"☐ Non")+COUNTIF(H127:BD127,"◐ Partiel"))</x:f>
      </x:c>
      <x:c r="BG127" s="82"/>
    </x:row>
    <x:row r="128">
      <x:c r="A128" s="82"/>
      <x:c r="B128" s="82"/>
      <x:c r="C128" s="82"/>
      <x:c r="D128" s="82"/>
      <x:c r="E128" s="82"/>
      <x:c r="F128" s="82"/>
      <x:c r="G128" s="82"/>
      <x:c r="H128" s="82"/>
      <x:c r="I128" s="82"/>
      <x:c r="J128" s="82"/>
      <x:c r="K128" s="82"/>
      <x:c r="L128" s="82"/>
      <x:c r="M128" s="82"/>
      <x:c r="N128" s="82"/>
      <x:c r="O128" s="82"/>
      <x:c r="P128" s="82"/>
      <x:c r="Q128" s="84" t="str">
        <x:f>IFERROR((COUNTIF(H128:P128,"☑ Implémenté")+COUNTIF(H128:P128,"☑ Oui")+0.5*COUNTIF(H128:P128,"◐ Partiel"))/(COUNTIF(H128:P128,"☑ Implémenté")+COUNTIF(H128:P128,"☑ Oui")+COUNTIF(H128:P128,"◐ Partiel")+COUNTIF(H128:P128,"☐ Non implémenté")+COUNTIF(H128:P128,"☐ Non")),"")</x:f>
      </x:c>
      <x:c r="R128" s="82"/>
      <x:c r="S128" s="82"/>
      <x:c r="T128" s="82"/>
      <x:c r="U128" s="82"/>
      <x:c r="V128" s="84" t="str">
        <x:f>IFERROR((COUNTIF(R128:U128,"☑ Implémenté")+COUNTIF(R128:U128,"☑ Oui")+0.5*COUNTIF(R128:U128,"◐ Partiel"))/(COUNTIF(R128:U128,"☑ Implémenté")+COUNTIF(R128:U128,"☑ Oui")+COUNTIF(R128:U128,"◐ Partiel")+COUNTIF(R128:U128,"☐ Non implémenté")+COUNTIF(R128:U128,"☐ Non")),"")</x:f>
      </x:c>
      <x:c r="W128" s="82"/>
      <x:c r="X128" s="82"/>
      <x:c r="Y128" s="84" t="str">
        <x:f>IFERROR((COUNTIF(W128:X128,"☑ Implémenté")+COUNTIF(W128:X128,"☑ Oui")+0.5*COUNTIF(W128:X128,"◐ Partiel"))/(COUNTIF(W128:X128,"☑ Implémenté")+COUNTIF(W128:X128,"☑ Oui")+COUNTIF(W128:X128,"◐ Partiel")+COUNTIF(W128:X128,"☐ Non implémenté")+COUNTIF(W128:X128,"☐ Non")),"")</x:f>
      </x:c>
      <x:c r="Z128" s="82"/>
      <x:c r="AA128" s="82"/>
      <x:c r="AB128" s="82"/>
      <x:c r="AC128" s="82"/>
      <x:c r="AD128" s="82"/>
      <x:c r="AE128" s="82"/>
      <x:c r="AF128" s="82"/>
      <x:c r="AG128" s="84"/>
      <x:c r="AH128" s="82"/>
      <x:c r="AI128" s="82"/>
      <x:c r="AJ128" s="82"/>
      <x:c r="AK128" s="82"/>
      <x:c r="AL128" s="82"/>
      <x:c r="AM128" s="82"/>
      <x:c r="AN128" s="82"/>
      <x:c r="AO128" s="82"/>
      <x:c r="AP128" s="82"/>
      <x:c r="AQ128" s="82"/>
      <x:c r="AR128" s="82"/>
      <x:c r="AS128" s="82"/>
      <x:c r="AT128" s="82"/>
      <x:c r="AU128" s="82"/>
      <x:c r="AV128" s="82"/>
      <x:c r="AW128" s="82"/>
      <x:c r="AX128" s="82"/>
      <x:c r="AY128" s="82"/>
      <x:c r="AZ128" s="82"/>
      <x:c r="BA128" s="82"/>
      <x:c r="BB128" s="82"/>
      <x:c r="BC128" s="82"/>
      <x:c r="BD128" s="84" t="str">
        <x:f>IFERROR((COUNTIF(AZ128:BC128,"☑ Implémenté")+COUNTIF(AZ128:BC128,"☑ Oui")+0.5*COUNTIF(AZ128:BC128,"◐ Partiel"))/(COUNTIF(AZ128:BC128,"☑ Implémenté")+COUNTIF(AZ128:BC128,"☑ Oui")+COUNTIF(AZ128:BC128,"◐ Partiel")+COUNTIF(AZ128:BC128,"☐ Non implémenté")+COUNTIF(AZ128:BC128,"☐ Non")),"")</x:f>
      </x:c>
      <x:c r="BE128" s="84" t="str">
        <x:f>IFERROR((COUNTIF(H128:BD128,"☑ Implémenté")+COUNTIF(H128:BD128,"☑ Oui")+COUNTIF(H128:BD128,"DevOpsFundation")+0.5*COUNTIF(H128:BD128,"◐ Partiel"))/(COUNTIF(H128:BD128,"☑ Implémenté")+COUNTIF(H128:BD128,"☑ Oui")+COUNTIF(H128:BD128,"DevOpsFundation")+COUNTIF(H128:BD128,"◐ Partiel")+COUNTIF(H128:BD128,"☐ Non implémenté")+COUNTIF(H128:BD128,"☐ Non")),"")</x:f>
      </x:c>
      <x:c r="BF128" s="82" t="str">
        <x:f>IF(B128="","",COUNTIF(H128:BD128,"☐ Non implémenté")+COUNTIF(H128:BD128,"☐ Non")+COUNTIF(H128:BD128,"◐ Partiel"))</x:f>
      </x:c>
      <x:c r="BG128" s="82"/>
    </x:row>
    <x:row r="129">
      <x:c r="A129" s="82"/>
      <x:c r="B129" s="82"/>
      <x:c r="C129" s="82"/>
      <x:c r="D129" s="82"/>
      <x:c r="E129" s="82"/>
      <x:c r="F129" s="82"/>
      <x:c r="G129" s="82"/>
      <x:c r="H129" s="82"/>
      <x:c r="I129" s="82"/>
      <x:c r="J129" s="82"/>
      <x:c r="K129" s="82"/>
      <x:c r="L129" s="82"/>
      <x:c r="M129" s="82"/>
      <x:c r="N129" s="82"/>
      <x:c r="O129" s="82"/>
      <x:c r="P129" s="82"/>
      <x:c r="Q129" s="84" t="str">
        <x:f>IFERROR((COUNTIF(H129:P129,"☑ Implémenté")+COUNTIF(H129:P129,"☑ Oui")+0.5*COUNTIF(H129:P129,"◐ Partiel"))/(COUNTIF(H129:P129,"☑ Implémenté")+COUNTIF(H129:P129,"☑ Oui")+COUNTIF(H129:P129,"◐ Partiel")+COUNTIF(H129:P129,"☐ Non implémenté")+COUNTIF(H129:P129,"☐ Non")),"")</x:f>
      </x:c>
      <x:c r="R129" s="82"/>
      <x:c r="S129" s="82"/>
      <x:c r="T129" s="82"/>
      <x:c r="U129" s="82"/>
      <x:c r="V129" s="84" t="str">
        <x:f>IFERROR((COUNTIF(R129:U129,"☑ Implémenté")+COUNTIF(R129:U129,"☑ Oui")+0.5*COUNTIF(R129:U129,"◐ Partiel"))/(COUNTIF(R129:U129,"☑ Implémenté")+COUNTIF(R129:U129,"☑ Oui")+COUNTIF(R129:U129,"◐ Partiel")+COUNTIF(R129:U129,"☐ Non implémenté")+COUNTIF(R129:U129,"☐ Non")),"")</x:f>
      </x:c>
      <x:c r="W129" s="82"/>
      <x:c r="X129" s="82"/>
      <x:c r="Y129" s="84" t="str">
        <x:f>IFERROR((COUNTIF(W129:X129,"☑ Implémenté")+COUNTIF(W129:X129,"☑ Oui")+0.5*COUNTIF(W129:X129,"◐ Partiel"))/(COUNTIF(W129:X129,"☑ Implémenté")+COUNTIF(W129:X129,"☑ Oui")+COUNTIF(W129:X129,"◐ Partiel")+COUNTIF(W129:X129,"☐ Non implémenté")+COUNTIF(W129:X129,"☐ Non")),"")</x:f>
      </x:c>
      <x:c r="Z129" s="82"/>
      <x:c r="AA129" s="82"/>
      <x:c r="AB129" s="82"/>
      <x:c r="AC129" s="82"/>
      <x:c r="AD129" s="82"/>
      <x:c r="AE129" s="82"/>
      <x:c r="AF129" s="82"/>
      <x:c r="AG129" s="84"/>
      <x:c r="AH129" s="82"/>
      <x:c r="AI129" s="82"/>
      <x:c r="AJ129" s="82"/>
      <x:c r="AK129" s="82"/>
      <x:c r="AL129" s="82"/>
      <x:c r="AM129" s="82"/>
      <x:c r="AN129" s="82"/>
      <x:c r="AO129" s="82"/>
      <x:c r="AP129" s="82"/>
      <x:c r="AQ129" s="82"/>
      <x:c r="AR129" s="82"/>
      <x:c r="AS129" s="82"/>
      <x:c r="AT129" s="82"/>
      <x:c r="AU129" s="82"/>
      <x:c r="AV129" s="82"/>
      <x:c r="AW129" s="82"/>
      <x:c r="AX129" s="82"/>
      <x:c r="AY129" s="82"/>
      <x:c r="AZ129" s="82"/>
      <x:c r="BA129" s="82"/>
      <x:c r="BB129" s="82"/>
      <x:c r="BC129" s="82"/>
      <x:c r="BD129" s="84" t="str">
        <x:f>IFERROR((COUNTIF(AZ129:BC129,"☑ Implémenté")+COUNTIF(AZ129:BC129,"☑ Oui")+0.5*COUNTIF(AZ129:BC129,"◐ Partiel"))/(COUNTIF(AZ129:BC129,"☑ Implémenté")+COUNTIF(AZ129:BC129,"☑ Oui")+COUNTIF(AZ129:BC129,"◐ Partiel")+COUNTIF(AZ129:BC129,"☐ Non implémenté")+COUNTIF(AZ129:BC129,"☐ Non")),"")</x:f>
      </x:c>
      <x:c r="BE129" s="84" t="str">
        <x:f>IFERROR((COUNTIF(H129:BD129,"☑ Implémenté")+COUNTIF(H129:BD129,"☑ Oui")+COUNTIF(H129:BD129,"DevOpsFundation")+0.5*COUNTIF(H129:BD129,"◐ Partiel"))/(COUNTIF(H129:BD129,"☑ Implémenté")+COUNTIF(H129:BD129,"☑ Oui")+COUNTIF(H129:BD129,"DevOpsFundation")+COUNTIF(H129:BD129,"◐ Partiel")+COUNTIF(H129:BD129,"☐ Non implémenté")+COUNTIF(H129:BD129,"☐ Non")),"")</x:f>
      </x:c>
      <x:c r="BF129" s="82" t="str">
        <x:f>IF(B129="","",COUNTIF(H129:BD129,"☐ Non implémenté")+COUNTIF(H129:BD129,"☐ Non")+COUNTIF(H129:BD129,"◐ Partiel"))</x:f>
      </x:c>
      <x:c r="BG129" s="82"/>
    </x:row>
    <x:row r="130">
      <x:c r="A130" s="82"/>
      <x:c r="B130" s="82"/>
      <x:c r="C130" s="82"/>
      <x:c r="D130" s="82"/>
      <x:c r="E130" s="82"/>
      <x:c r="F130" s="82"/>
      <x:c r="G130" s="82"/>
      <x:c r="H130" s="82"/>
      <x:c r="I130" s="82"/>
      <x:c r="J130" s="82"/>
      <x:c r="K130" s="82"/>
      <x:c r="L130" s="82"/>
      <x:c r="M130" s="82"/>
      <x:c r="N130" s="82"/>
      <x:c r="O130" s="82"/>
      <x:c r="P130" s="82"/>
      <x:c r="Q130" s="84" t="str">
        <x:f>IFERROR((COUNTIF(H130:P130,"☑ Implémenté")+COUNTIF(H130:P130,"☑ Oui")+0.5*COUNTIF(H130:P130,"◐ Partiel"))/(COUNTIF(H130:P130,"☑ Implémenté")+COUNTIF(H130:P130,"☑ Oui")+COUNTIF(H130:P130,"◐ Partiel")+COUNTIF(H130:P130,"☐ Non implémenté")+COUNTIF(H130:P130,"☐ Non")),"")</x:f>
      </x:c>
      <x:c r="R130" s="82"/>
      <x:c r="S130" s="82"/>
      <x:c r="T130" s="82"/>
      <x:c r="U130" s="82"/>
      <x:c r="V130" s="84" t="str">
        <x:f>IFERROR((COUNTIF(R130:U130,"☑ Implémenté")+COUNTIF(R130:U130,"☑ Oui")+0.5*COUNTIF(R130:U130,"◐ Partiel"))/(COUNTIF(R130:U130,"☑ Implémenté")+COUNTIF(R130:U130,"☑ Oui")+COUNTIF(R130:U130,"◐ Partiel")+COUNTIF(R130:U130,"☐ Non implémenté")+COUNTIF(R130:U130,"☐ Non")),"")</x:f>
      </x:c>
      <x:c r="W130" s="82"/>
      <x:c r="X130" s="82"/>
      <x:c r="Y130" s="84" t="str">
        <x:f>IFERROR((COUNTIF(W130:X130,"☑ Implémenté")+COUNTIF(W130:X130,"☑ Oui")+0.5*COUNTIF(W130:X130,"◐ Partiel"))/(COUNTIF(W130:X130,"☑ Implémenté")+COUNTIF(W130:X130,"☑ Oui")+COUNTIF(W130:X130,"◐ Partiel")+COUNTIF(W130:X130,"☐ Non implémenté")+COUNTIF(W130:X130,"☐ Non")),"")</x:f>
      </x:c>
      <x:c r="Z130" s="82"/>
      <x:c r="AA130" s="82"/>
      <x:c r="AB130" s="82"/>
      <x:c r="AC130" s="82"/>
      <x:c r="AD130" s="82"/>
      <x:c r="AE130" s="82"/>
      <x:c r="AF130" s="82"/>
      <x:c r="AG130" s="84"/>
      <x:c r="AH130" s="82"/>
      <x:c r="AI130" s="82"/>
      <x:c r="AJ130" s="82"/>
      <x:c r="AK130" s="82"/>
      <x:c r="AL130" s="82"/>
      <x:c r="AM130" s="82"/>
      <x:c r="AN130" s="82"/>
      <x:c r="AO130" s="82"/>
      <x:c r="AP130" s="82"/>
      <x:c r="AQ130" s="82"/>
      <x:c r="AR130" s="82"/>
      <x:c r="AS130" s="82"/>
      <x:c r="AT130" s="82"/>
      <x:c r="AU130" s="82"/>
      <x:c r="AV130" s="82"/>
      <x:c r="AW130" s="82"/>
      <x:c r="AX130" s="82"/>
      <x:c r="AY130" s="82"/>
      <x:c r="AZ130" s="82"/>
      <x:c r="BA130" s="82"/>
      <x:c r="BB130" s="82"/>
      <x:c r="BC130" s="82"/>
      <x:c r="BD130" s="84" t="str">
        <x:f>IFERROR((COUNTIF(AZ130:BC130,"☑ Implémenté")+COUNTIF(AZ130:BC130,"☑ Oui")+0.5*COUNTIF(AZ130:BC130,"◐ Partiel"))/(COUNTIF(AZ130:BC130,"☑ Implémenté")+COUNTIF(AZ130:BC130,"☑ Oui")+COUNTIF(AZ130:BC130,"◐ Partiel")+COUNTIF(AZ130:BC130,"☐ Non implémenté")+COUNTIF(AZ130:BC130,"☐ Non")),"")</x:f>
      </x:c>
      <x:c r="BE130" s="84" t="str">
        <x:f>IFERROR((COUNTIF(H130:BD130,"☑ Implémenté")+COUNTIF(H130:BD130,"☑ Oui")+COUNTIF(H130:BD130,"DevOpsFundation")+0.5*COUNTIF(H130:BD130,"◐ Partiel"))/(COUNTIF(H130:BD130,"☑ Implémenté")+COUNTIF(H130:BD130,"☑ Oui")+COUNTIF(H130:BD130,"DevOpsFundation")+COUNTIF(H130:BD130,"◐ Partiel")+COUNTIF(H130:BD130,"☐ Non implémenté")+COUNTIF(H130:BD130,"☐ Non")),"")</x:f>
      </x:c>
      <x:c r="BF130" s="82" t="str">
        <x:f>IF(B130="","",COUNTIF(H130:BD130,"☐ Non implémenté")+COUNTIF(H130:BD130,"☐ Non")+COUNTIF(H130:BD130,"◐ Partiel"))</x:f>
      </x:c>
      <x:c r="BG130" s="82"/>
    </x:row>
    <x:row r="131">
      <x:c r="A131" s="82"/>
      <x:c r="B131" s="82"/>
      <x:c r="C131" s="82"/>
      <x:c r="D131" s="82"/>
      <x:c r="E131" s="82"/>
      <x:c r="F131" s="82"/>
      <x:c r="G131" s="82"/>
      <x:c r="H131" s="82"/>
      <x:c r="I131" s="82"/>
      <x:c r="J131" s="82"/>
      <x:c r="K131" s="82"/>
      <x:c r="L131" s="82"/>
      <x:c r="M131" s="82"/>
      <x:c r="N131" s="82"/>
      <x:c r="O131" s="82"/>
      <x:c r="P131" s="82"/>
      <x:c r="Q131" s="84" t="str">
        <x:f>IFERROR((COUNTIF(H131:P131,"☑ Implémenté")+COUNTIF(H131:P131,"☑ Oui")+0.5*COUNTIF(H131:P131,"◐ Partiel"))/(COUNTIF(H131:P131,"☑ Implémenté")+COUNTIF(H131:P131,"☑ Oui")+COUNTIF(H131:P131,"◐ Partiel")+COUNTIF(H131:P131,"☐ Non implémenté")+COUNTIF(H131:P131,"☐ Non")),"")</x:f>
      </x:c>
      <x:c r="R131" s="82"/>
      <x:c r="S131" s="82"/>
      <x:c r="T131" s="82"/>
      <x:c r="U131" s="82"/>
      <x:c r="V131" s="84" t="str">
        <x:f>IFERROR((COUNTIF(R131:U131,"☑ Implémenté")+COUNTIF(R131:U131,"☑ Oui")+0.5*COUNTIF(R131:U131,"◐ Partiel"))/(COUNTIF(R131:U131,"☑ Implémenté")+COUNTIF(R131:U131,"☑ Oui")+COUNTIF(R131:U131,"◐ Partiel")+COUNTIF(R131:U131,"☐ Non implémenté")+COUNTIF(R131:U131,"☐ Non")),"")</x:f>
      </x:c>
      <x:c r="W131" s="82"/>
      <x:c r="X131" s="82"/>
      <x:c r="Y131" s="84" t="str">
        <x:f>IFERROR((COUNTIF(W131:X131,"☑ Implémenté")+COUNTIF(W131:X131,"☑ Oui")+0.5*COUNTIF(W131:X131,"◐ Partiel"))/(COUNTIF(W131:X131,"☑ Implémenté")+COUNTIF(W131:X131,"☑ Oui")+COUNTIF(W131:X131,"◐ Partiel")+COUNTIF(W131:X131,"☐ Non implémenté")+COUNTIF(W131:X131,"☐ Non")),"")</x:f>
      </x:c>
      <x:c r="Z131" s="82"/>
      <x:c r="AA131" s="82"/>
      <x:c r="AB131" s="82"/>
      <x:c r="AC131" s="82"/>
      <x:c r="AD131" s="82"/>
      <x:c r="AE131" s="82"/>
      <x:c r="AF131" s="82"/>
      <x:c r="AG131" s="84"/>
      <x:c r="AH131" s="82"/>
      <x:c r="AI131" s="82"/>
      <x:c r="AJ131" s="82"/>
      <x:c r="AK131" s="82"/>
      <x:c r="AL131" s="82"/>
      <x:c r="AM131" s="82"/>
      <x:c r="AN131" s="82"/>
      <x:c r="AO131" s="82"/>
      <x:c r="AP131" s="82"/>
      <x:c r="AQ131" s="82"/>
      <x:c r="AR131" s="82"/>
      <x:c r="AS131" s="82"/>
      <x:c r="AT131" s="82"/>
      <x:c r="AU131" s="82"/>
      <x:c r="AV131" s="82"/>
      <x:c r="AW131" s="82"/>
      <x:c r="AX131" s="82"/>
      <x:c r="AY131" s="82"/>
      <x:c r="AZ131" s="82"/>
      <x:c r="BA131" s="82"/>
      <x:c r="BB131" s="82"/>
      <x:c r="BC131" s="82"/>
      <x:c r="BD131" s="84" t="str">
        <x:f>IFERROR((COUNTIF(AZ131:BC131,"☑ Implémenté")+COUNTIF(AZ131:BC131,"☑ Oui")+0.5*COUNTIF(AZ131:BC131,"◐ Partiel"))/(COUNTIF(AZ131:BC131,"☑ Implémenté")+COUNTIF(AZ131:BC131,"☑ Oui")+COUNTIF(AZ131:BC131,"◐ Partiel")+COUNTIF(AZ131:BC131,"☐ Non implémenté")+COUNTIF(AZ131:BC131,"☐ Non")),"")</x:f>
      </x:c>
      <x:c r="BE131" s="84" t="str">
        <x:f>IFERROR((COUNTIF(H131:BD131,"☑ Implémenté")+COUNTIF(H131:BD131,"☑ Oui")+COUNTIF(H131:BD131,"DevOpsFundation")+0.5*COUNTIF(H131:BD131,"◐ Partiel"))/(COUNTIF(H131:BD131,"☑ Implémenté")+COUNTIF(H131:BD131,"☑ Oui")+COUNTIF(H131:BD131,"DevOpsFundation")+COUNTIF(H131:BD131,"◐ Partiel")+COUNTIF(H131:BD131,"☐ Non implémenté")+COUNTIF(H131:BD131,"☐ Non")),"")</x:f>
      </x:c>
      <x:c r="BF131" s="82" t="str">
        <x:f>IF(B131="","",COUNTIF(H131:BD131,"☐ Non implémenté")+COUNTIF(H131:BD131,"☐ Non")+COUNTIF(H131:BD131,"◐ Partiel"))</x:f>
      </x:c>
      <x:c r="BG131" s="82"/>
    </x:row>
    <x:row r="132">
      <x:c r="A132" s="82"/>
      <x:c r="B132" s="82"/>
      <x:c r="C132" s="82"/>
      <x:c r="D132" s="82"/>
      <x:c r="E132" s="82"/>
      <x:c r="F132" s="82"/>
      <x:c r="G132" s="82"/>
      <x:c r="H132" s="82"/>
      <x:c r="I132" s="82"/>
      <x:c r="J132" s="82"/>
      <x:c r="K132" s="82"/>
      <x:c r="L132" s="82"/>
      <x:c r="M132" s="82"/>
      <x:c r="N132" s="82"/>
      <x:c r="O132" s="82"/>
      <x:c r="P132" s="82"/>
      <x:c r="Q132" s="84" t="str">
        <x:f>IFERROR((COUNTIF(H132:P132,"☑ Implémenté")+COUNTIF(H132:P132,"☑ Oui")+0.5*COUNTIF(H132:P132,"◐ Partiel"))/(COUNTIF(H132:P132,"☑ Implémenté")+COUNTIF(H132:P132,"☑ Oui")+COUNTIF(H132:P132,"◐ Partiel")+COUNTIF(H132:P132,"☐ Non implémenté")+COUNTIF(H132:P132,"☐ Non")),"")</x:f>
      </x:c>
      <x:c r="R132" s="82"/>
      <x:c r="S132" s="82"/>
      <x:c r="T132" s="82"/>
      <x:c r="U132" s="82"/>
      <x:c r="V132" s="84" t="str">
        <x:f>IFERROR((COUNTIF(R132:U132,"☑ Implémenté")+COUNTIF(R132:U132,"☑ Oui")+0.5*COUNTIF(R132:U132,"◐ Partiel"))/(COUNTIF(R132:U132,"☑ Implémenté")+COUNTIF(R132:U132,"☑ Oui")+COUNTIF(R132:U132,"◐ Partiel")+COUNTIF(R132:U132,"☐ Non implémenté")+COUNTIF(R132:U132,"☐ Non")),"")</x:f>
      </x:c>
      <x:c r="W132" s="82"/>
      <x:c r="X132" s="82"/>
      <x:c r="Y132" s="84" t="str">
        <x:f>IFERROR((COUNTIF(W132:X132,"☑ Implémenté")+COUNTIF(W132:X132,"☑ Oui")+0.5*COUNTIF(W132:X132,"◐ Partiel"))/(COUNTIF(W132:X132,"☑ Implémenté")+COUNTIF(W132:X132,"☑ Oui")+COUNTIF(W132:X132,"◐ Partiel")+COUNTIF(W132:X132,"☐ Non implémenté")+COUNTIF(W132:X132,"☐ Non")),"")</x:f>
      </x:c>
      <x:c r="Z132" s="82"/>
      <x:c r="AA132" s="82"/>
      <x:c r="AB132" s="82"/>
      <x:c r="AC132" s="82"/>
      <x:c r="AD132" s="82"/>
      <x:c r="AE132" s="82"/>
      <x:c r="AF132" s="82"/>
      <x:c r="AG132" s="84"/>
      <x:c r="AH132" s="82"/>
      <x:c r="AI132" s="82"/>
      <x:c r="AJ132" s="82"/>
      <x:c r="AK132" s="82"/>
      <x:c r="AL132" s="82"/>
      <x:c r="AM132" s="82"/>
      <x:c r="AN132" s="82"/>
      <x:c r="AO132" s="82"/>
      <x:c r="AP132" s="82"/>
      <x:c r="AQ132" s="82"/>
      <x:c r="AR132" s="82"/>
      <x:c r="AS132" s="82"/>
      <x:c r="AT132" s="82"/>
      <x:c r="AU132" s="82"/>
      <x:c r="AV132" s="82"/>
      <x:c r="AW132" s="82"/>
      <x:c r="AX132" s="82"/>
      <x:c r="AY132" s="82"/>
      <x:c r="AZ132" s="82"/>
      <x:c r="BA132" s="82"/>
      <x:c r="BB132" s="82"/>
      <x:c r="BC132" s="82"/>
      <x:c r="BD132" s="84" t="str">
        <x:f>IFERROR((COUNTIF(AZ132:BC132,"☑ Implémenté")+COUNTIF(AZ132:BC132,"☑ Oui")+0.5*COUNTIF(AZ132:BC132,"◐ Partiel"))/(COUNTIF(AZ132:BC132,"☑ Implémenté")+COUNTIF(AZ132:BC132,"☑ Oui")+COUNTIF(AZ132:BC132,"◐ Partiel")+COUNTIF(AZ132:BC132,"☐ Non implémenté")+COUNTIF(AZ132:BC132,"☐ Non")),"")</x:f>
      </x:c>
      <x:c r="BE132" s="84" t="str">
        <x:f>IFERROR((COUNTIF(H132:BD132,"☑ Implémenté")+COUNTIF(H132:BD132,"☑ Oui")+COUNTIF(H132:BD132,"DevOpsFundation")+0.5*COUNTIF(H132:BD132,"◐ Partiel"))/(COUNTIF(H132:BD132,"☑ Implémenté")+COUNTIF(H132:BD132,"☑ Oui")+COUNTIF(H132:BD132,"DevOpsFundation")+COUNTIF(H132:BD132,"◐ Partiel")+COUNTIF(H132:BD132,"☐ Non implémenté")+COUNTIF(H132:BD132,"☐ Non")),"")</x:f>
      </x:c>
      <x:c r="BF132" s="82" t="str">
        <x:f>IF(B132="","",COUNTIF(H132:BD132,"☐ Non implémenté")+COUNTIF(H132:BD132,"☐ Non")+COUNTIF(H132:BD132,"◐ Partiel"))</x:f>
      </x:c>
      <x:c r="BG132" s="82"/>
    </x:row>
    <x:row r="133">
      <x:c r="A133" s="82"/>
      <x:c r="B133" s="82"/>
      <x:c r="C133" s="82"/>
      <x:c r="D133" s="82"/>
      <x:c r="E133" s="82"/>
      <x:c r="F133" s="82"/>
      <x:c r="G133" s="82"/>
      <x:c r="H133" s="82"/>
      <x:c r="I133" s="82"/>
      <x:c r="J133" s="82"/>
      <x:c r="K133" s="82"/>
      <x:c r="L133" s="82"/>
      <x:c r="M133" s="82"/>
      <x:c r="N133" s="82"/>
      <x:c r="O133" s="82"/>
      <x:c r="P133" s="82"/>
      <x:c r="Q133" s="84" t="str">
        <x:f>IFERROR((COUNTIF(H133:P133,"☑ Implémenté")+COUNTIF(H133:P133,"☑ Oui")+0.5*COUNTIF(H133:P133,"◐ Partiel"))/(COUNTIF(H133:P133,"☑ Implémenté")+COUNTIF(H133:P133,"☑ Oui")+COUNTIF(H133:P133,"◐ Partiel")+COUNTIF(H133:P133,"☐ Non implémenté")+COUNTIF(H133:P133,"☐ Non")),"")</x:f>
      </x:c>
      <x:c r="R133" s="82"/>
      <x:c r="S133" s="82"/>
      <x:c r="T133" s="82"/>
      <x:c r="U133" s="82"/>
      <x:c r="V133" s="84" t="str">
        <x:f>IFERROR((COUNTIF(R133:U133,"☑ Implémenté")+COUNTIF(R133:U133,"☑ Oui")+0.5*COUNTIF(R133:U133,"◐ Partiel"))/(COUNTIF(R133:U133,"☑ Implémenté")+COUNTIF(R133:U133,"☑ Oui")+COUNTIF(R133:U133,"◐ Partiel")+COUNTIF(R133:U133,"☐ Non implémenté")+COUNTIF(R133:U133,"☐ Non")),"")</x:f>
      </x:c>
      <x:c r="W133" s="82"/>
      <x:c r="X133" s="82"/>
      <x:c r="Y133" s="84" t="str">
        <x:f>IFERROR((COUNTIF(W133:X133,"☑ Implémenté")+COUNTIF(W133:X133,"☑ Oui")+0.5*COUNTIF(W133:X133,"◐ Partiel"))/(COUNTIF(W133:X133,"☑ Implémenté")+COUNTIF(W133:X133,"☑ Oui")+COUNTIF(W133:X133,"◐ Partiel")+COUNTIF(W133:X133,"☐ Non implémenté")+COUNTIF(W133:X133,"☐ Non")),"")</x:f>
      </x:c>
      <x:c r="Z133" s="82"/>
      <x:c r="AA133" s="82"/>
      <x:c r="AB133" s="82"/>
      <x:c r="AC133" s="82"/>
      <x:c r="AD133" s="82"/>
      <x:c r="AE133" s="82"/>
      <x:c r="AF133" s="82"/>
      <x:c r="AG133" s="84"/>
      <x:c r="AH133" s="82"/>
      <x:c r="AI133" s="82"/>
      <x:c r="AJ133" s="82"/>
      <x:c r="AK133" s="82"/>
      <x:c r="AL133" s="82"/>
      <x:c r="AM133" s="82"/>
      <x:c r="AN133" s="82"/>
      <x:c r="AO133" s="82"/>
      <x:c r="AP133" s="82"/>
      <x:c r="AQ133" s="82"/>
      <x:c r="AR133" s="82"/>
      <x:c r="AS133" s="82"/>
      <x:c r="AT133" s="82"/>
      <x:c r="AU133" s="82"/>
      <x:c r="AV133" s="82"/>
      <x:c r="AW133" s="82"/>
      <x:c r="AX133" s="82"/>
      <x:c r="AY133" s="82"/>
      <x:c r="AZ133" s="82"/>
      <x:c r="BA133" s="82"/>
      <x:c r="BB133" s="82"/>
      <x:c r="BC133" s="82"/>
      <x:c r="BD133" s="84" t="str">
        <x:f>IFERROR((COUNTIF(AZ133:BC133,"☑ Implémenté")+COUNTIF(AZ133:BC133,"☑ Oui")+0.5*COUNTIF(AZ133:BC133,"◐ Partiel"))/(COUNTIF(AZ133:BC133,"☑ Implémenté")+COUNTIF(AZ133:BC133,"☑ Oui")+COUNTIF(AZ133:BC133,"◐ Partiel")+COUNTIF(AZ133:BC133,"☐ Non implémenté")+COUNTIF(AZ133:BC133,"☐ Non")),"")</x:f>
      </x:c>
      <x:c r="BE133" s="84" t="str">
        <x:f>IFERROR((COUNTIF(H133:BD133,"☑ Implémenté")+COUNTIF(H133:BD133,"☑ Oui")+COUNTIF(H133:BD133,"DevOpsFundation")+0.5*COUNTIF(H133:BD133,"◐ Partiel"))/(COUNTIF(H133:BD133,"☑ Implémenté")+COUNTIF(H133:BD133,"☑ Oui")+COUNTIF(H133:BD133,"DevOpsFundation")+COUNTIF(H133:BD133,"◐ Partiel")+COUNTIF(H133:BD133,"☐ Non implémenté")+COUNTIF(H133:BD133,"☐ Non")),"")</x:f>
      </x:c>
      <x:c r="BF133" s="82" t="str">
        <x:f>IF(B133="","",COUNTIF(H133:BD133,"☐ Non implémenté")+COUNTIF(H133:BD133,"☐ Non")+COUNTIF(H133:BD133,"◐ Partiel"))</x:f>
      </x:c>
      <x:c r="BG133" s="82"/>
    </x:row>
    <x:row r="134">
      <x:c r="A134" s="82"/>
      <x:c r="B134" s="82"/>
      <x:c r="C134" s="82"/>
      <x:c r="D134" s="82"/>
      <x:c r="E134" s="82"/>
      <x:c r="F134" s="82"/>
      <x:c r="G134" s="82"/>
      <x:c r="H134" s="82"/>
      <x:c r="I134" s="82"/>
      <x:c r="J134" s="82"/>
      <x:c r="K134" s="82"/>
      <x:c r="L134" s="82"/>
      <x:c r="M134" s="82"/>
      <x:c r="N134" s="82"/>
      <x:c r="O134" s="82"/>
      <x:c r="P134" s="82"/>
      <x:c r="Q134" s="84" t="str">
        <x:f>IFERROR((COUNTIF(H134:P134,"☑ Implémenté")+COUNTIF(H134:P134,"☑ Oui")+0.5*COUNTIF(H134:P134,"◐ Partiel"))/(COUNTIF(H134:P134,"☑ Implémenté")+COUNTIF(H134:P134,"☑ Oui")+COUNTIF(H134:P134,"◐ Partiel")+COUNTIF(H134:P134,"☐ Non implémenté")+COUNTIF(H134:P134,"☐ Non")),"")</x:f>
      </x:c>
      <x:c r="R134" s="82"/>
      <x:c r="S134" s="82"/>
      <x:c r="T134" s="82"/>
      <x:c r="U134" s="82"/>
      <x:c r="V134" s="84" t="str">
        <x:f>IFERROR((COUNTIF(R134:U134,"☑ Implémenté")+COUNTIF(R134:U134,"☑ Oui")+0.5*COUNTIF(R134:U134,"◐ Partiel"))/(COUNTIF(R134:U134,"☑ Implémenté")+COUNTIF(R134:U134,"☑ Oui")+COUNTIF(R134:U134,"◐ Partiel")+COUNTIF(R134:U134,"☐ Non implémenté")+COUNTIF(R134:U134,"☐ Non")),"")</x:f>
      </x:c>
      <x:c r="W134" s="82"/>
      <x:c r="X134" s="82"/>
      <x:c r="Y134" s="84" t="str">
        <x:f>IFERROR((COUNTIF(W134:X134,"☑ Implémenté")+COUNTIF(W134:X134,"☑ Oui")+0.5*COUNTIF(W134:X134,"◐ Partiel"))/(COUNTIF(W134:X134,"☑ Implémenté")+COUNTIF(W134:X134,"☑ Oui")+COUNTIF(W134:X134,"◐ Partiel")+COUNTIF(W134:X134,"☐ Non implémenté")+COUNTIF(W134:X134,"☐ Non")),"")</x:f>
      </x:c>
      <x:c r="Z134" s="82"/>
      <x:c r="AA134" s="82"/>
      <x:c r="AB134" s="82"/>
      <x:c r="AC134" s="82"/>
      <x:c r="AD134" s="82"/>
      <x:c r="AE134" s="82"/>
      <x:c r="AF134" s="82"/>
      <x:c r="AG134" s="84"/>
      <x:c r="AH134" s="82"/>
      <x:c r="AI134" s="82"/>
      <x:c r="AJ134" s="82"/>
      <x:c r="AK134" s="82"/>
      <x:c r="AL134" s="82"/>
      <x:c r="AM134" s="82"/>
      <x:c r="AN134" s="82"/>
      <x:c r="AO134" s="82"/>
      <x:c r="AP134" s="82"/>
      <x:c r="AQ134" s="82"/>
      <x:c r="AR134" s="82"/>
      <x:c r="AS134" s="82"/>
      <x:c r="AT134" s="82"/>
      <x:c r="AU134" s="82"/>
      <x:c r="AV134" s="82"/>
      <x:c r="AW134" s="82"/>
      <x:c r="AX134" s="82"/>
      <x:c r="AY134" s="82"/>
      <x:c r="AZ134" s="82"/>
      <x:c r="BA134" s="82"/>
      <x:c r="BB134" s="82"/>
      <x:c r="BC134" s="82"/>
      <x:c r="BD134" s="84" t="str">
        <x:f>IFERROR((COUNTIF(AZ134:BC134,"☑ Implémenté")+COUNTIF(AZ134:BC134,"☑ Oui")+0.5*COUNTIF(AZ134:BC134,"◐ Partiel"))/(COUNTIF(AZ134:BC134,"☑ Implémenté")+COUNTIF(AZ134:BC134,"☑ Oui")+COUNTIF(AZ134:BC134,"◐ Partiel")+COUNTIF(AZ134:BC134,"☐ Non implémenté")+COUNTIF(AZ134:BC134,"☐ Non")),"")</x:f>
      </x:c>
      <x:c r="BE134" s="84" t="str">
        <x:f>IFERROR((COUNTIF(H134:BD134,"☑ Implémenté")+COUNTIF(H134:BD134,"☑ Oui")+COUNTIF(H134:BD134,"DevOpsFundation")+0.5*COUNTIF(H134:BD134,"◐ Partiel"))/(COUNTIF(H134:BD134,"☑ Implémenté")+COUNTIF(H134:BD134,"☑ Oui")+COUNTIF(H134:BD134,"DevOpsFundation")+COUNTIF(H134:BD134,"◐ Partiel")+COUNTIF(H134:BD134,"☐ Non implémenté")+COUNTIF(H134:BD134,"☐ Non")),"")</x:f>
      </x:c>
      <x:c r="BF134" s="82" t="str">
        <x:f>IF(B134="","",COUNTIF(H134:BD134,"☐ Non implémenté")+COUNTIF(H134:BD134,"☐ Non")+COUNTIF(H134:BD134,"◐ Partiel"))</x:f>
      </x:c>
      <x:c r="BG134" s="82"/>
    </x:row>
    <x:row r="135">
      <x:c r="A135" s="82"/>
      <x:c r="B135" s="82"/>
      <x:c r="C135" s="82"/>
      <x:c r="D135" s="82"/>
      <x:c r="E135" s="82"/>
      <x:c r="F135" s="82"/>
      <x:c r="G135" s="82"/>
      <x:c r="H135" s="82"/>
      <x:c r="I135" s="82"/>
      <x:c r="J135" s="82"/>
      <x:c r="K135" s="82"/>
      <x:c r="L135" s="82"/>
      <x:c r="M135" s="82"/>
      <x:c r="N135" s="82"/>
      <x:c r="O135" s="82"/>
      <x:c r="P135" s="82"/>
      <x:c r="Q135" s="84" t="str">
        <x:f>IFERROR((COUNTIF(H135:P135,"☑ Implémenté")+COUNTIF(H135:P135,"☑ Oui")+0.5*COUNTIF(H135:P135,"◐ Partiel"))/(COUNTIF(H135:P135,"☑ Implémenté")+COUNTIF(H135:P135,"☑ Oui")+COUNTIF(H135:P135,"◐ Partiel")+COUNTIF(H135:P135,"☐ Non implémenté")+COUNTIF(H135:P135,"☐ Non")),"")</x:f>
      </x:c>
      <x:c r="R135" s="82"/>
      <x:c r="S135" s="82"/>
      <x:c r="T135" s="82"/>
      <x:c r="U135" s="82"/>
      <x:c r="V135" s="84" t="str">
        <x:f>IFERROR((COUNTIF(R135:U135,"☑ Implémenté")+COUNTIF(R135:U135,"☑ Oui")+0.5*COUNTIF(R135:U135,"◐ Partiel"))/(COUNTIF(R135:U135,"☑ Implémenté")+COUNTIF(R135:U135,"☑ Oui")+COUNTIF(R135:U135,"◐ Partiel")+COUNTIF(R135:U135,"☐ Non implémenté")+COUNTIF(R135:U135,"☐ Non")),"")</x:f>
      </x:c>
      <x:c r="W135" s="82"/>
      <x:c r="X135" s="82"/>
      <x:c r="Y135" s="84" t="str">
        <x:f>IFERROR((COUNTIF(W135:X135,"☑ Implémenté")+COUNTIF(W135:X135,"☑ Oui")+0.5*COUNTIF(W135:X135,"◐ Partiel"))/(COUNTIF(W135:X135,"☑ Implémenté")+COUNTIF(W135:X135,"☑ Oui")+COUNTIF(W135:X135,"◐ Partiel")+COUNTIF(W135:X135,"☐ Non implémenté")+COUNTIF(W135:X135,"☐ Non")),"")</x:f>
      </x:c>
      <x:c r="Z135" s="82"/>
      <x:c r="AA135" s="82"/>
      <x:c r="AB135" s="82"/>
      <x:c r="AC135" s="82"/>
      <x:c r="AD135" s="82"/>
      <x:c r="AE135" s="82"/>
      <x:c r="AF135" s="82"/>
      <x:c r="AG135" s="84"/>
      <x:c r="AH135" s="82"/>
      <x:c r="AI135" s="82"/>
      <x:c r="AJ135" s="82"/>
      <x:c r="AK135" s="82"/>
      <x:c r="AL135" s="82"/>
      <x:c r="AM135" s="82"/>
      <x:c r="AN135" s="82"/>
      <x:c r="AO135" s="82"/>
      <x:c r="AP135" s="82"/>
      <x:c r="AQ135" s="82"/>
      <x:c r="AR135" s="82"/>
      <x:c r="AS135" s="82"/>
      <x:c r="AT135" s="82"/>
      <x:c r="AU135" s="82"/>
      <x:c r="AV135" s="82"/>
      <x:c r="AW135" s="82"/>
      <x:c r="AX135" s="82"/>
      <x:c r="AY135" s="82"/>
      <x:c r="AZ135" s="82"/>
      <x:c r="BA135" s="82"/>
      <x:c r="BB135" s="82"/>
      <x:c r="BC135" s="82"/>
      <x:c r="BD135" s="84" t="str">
        <x:f>IFERROR((COUNTIF(AZ135:BC135,"☑ Implémenté")+COUNTIF(AZ135:BC135,"☑ Oui")+0.5*COUNTIF(AZ135:BC135,"◐ Partiel"))/(COUNTIF(AZ135:BC135,"☑ Implémenté")+COUNTIF(AZ135:BC135,"☑ Oui")+COUNTIF(AZ135:BC135,"◐ Partiel")+COUNTIF(AZ135:BC135,"☐ Non implémenté")+COUNTIF(AZ135:BC135,"☐ Non")),"")</x:f>
      </x:c>
      <x:c r="BE135" s="84" t="str">
        <x:f>IFERROR((COUNTIF(H135:BD135,"☑ Implémenté")+COUNTIF(H135:BD135,"☑ Oui")+COUNTIF(H135:BD135,"DevOpsFundation")+0.5*COUNTIF(H135:BD135,"◐ Partiel"))/(COUNTIF(H135:BD135,"☑ Implémenté")+COUNTIF(H135:BD135,"☑ Oui")+COUNTIF(H135:BD135,"DevOpsFundation")+COUNTIF(H135:BD135,"◐ Partiel")+COUNTIF(H135:BD135,"☐ Non implémenté")+COUNTIF(H135:BD135,"☐ Non")),"")</x:f>
      </x:c>
      <x:c r="BF135" s="82" t="str">
        <x:f>IF(B135="","",COUNTIF(H135:BD135,"☐ Non implémenté")+COUNTIF(H135:BD135,"☐ Non")+COUNTIF(H135:BD135,"◐ Partiel"))</x:f>
      </x:c>
      <x:c r="BG135" s="82"/>
    </x:row>
    <x:row r="136">
      <x:c r="A136" s="82"/>
      <x:c r="B136" s="82"/>
      <x:c r="C136" s="82"/>
      <x:c r="D136" s="82"/>
      <x:c r="E136" s="82"/>
      <x:c r="F136" s="82"/>
      <x:c r="G136" s="82"/>
      <x:c r="H136" s="82"/>
      <x:c r="I136" s="82"/>
      <x:c r="J136" s="82"/>
      <x:c r="K136" s="82"/>
      <x:c r="L136" s="82"/>
      <x:c r="M136" s="82"/>
      <x:c r="N136" s="82"/>
      <x:c r="O136" s="82"/>
      <x:c r="P136" s="82"/>
      <x:c r="Q136" s="84" t="str">
        <x:f>IFERROR((COUNTIF(H136:P136,"☑ Implémenté")+COUNTIF(H136:P136,"☑ Oui")+0.5*COUNTIF(H136:P136,"◐ Partiel"))/(COUNTIF(H136:P136,"☑ Implémenté")+COUNTIF(H136:P136,"☑ Oui")+COUNTIF(H136:P136,"◐ Partiel")+COUNTIF(H136:P136,"☐ Non implémenté")+COUNTIF(H136:P136,"☐ Non")),"")</x:f>
      </x:c>
      <x:c r="R136" s="82"/>
      <x:c r="S136" s="82"/>
      <x:c r="T136" s="82"/>
      <x:c r="U136" s="82"/>
      <x:c r="V136" s="84" t="str">
        <x:f>IFERROR((COUNTIF(R136:U136,"☑ Implémenté")+COUNTIF(R136:U136,"☑ Oui")+0.5*COUNTIF(R136:U136,"◐ Partiel"))/(COUNTIF(R136:U136,"☑ Implémenté")+COUNTIF(R136:U136,"☑ Oui")+COUNTIF(R136:U136,"◐ Partiel")+COUNTIF(R136:U136,"☐ Non implémenté")+COUNTIF(R136:U136,"☐ Non")),"")</x:f>
      </x:c>
      <x:c r="W136" s="82"/>
      <x:c r="X136" s="82"/>
      <x:c r="Y136" s="84" t="str">
        <x:f>IFERROR((COUNTIF(W136:X136,"☑ Implémenté")+COUNTIF(W136:X136,"☑ Oui")+0.5*COUNTIF(W136:X136,"◐ Partiel"))/(COUNTIF(W136:X136,"☑ Implémenté")+COUNTIF(W136:X136,"☑ Oui")+COUNTIF(W136:X136,"◐ Partiel")+COUNTIF(W136:X136,"☐ Non implémenté")+COUNTIF(W136:X136,"☐ Non")),"")</x:f>
      </x:c>
      <x:c r="Z136" s="82"/>
      <x:c r="AA136" s="82"/>
      <x:c r="AB136" s="82"/>
      <x:c r="AC136" s="82"/>
      <x:c r="AD136" s="82"/>
      <x:c r="AE136" s="82"/>
      <x:c r="AF136" s="82"/>
      <x:c r="AG136" s="84"/>
      <x:c r="AH136" s="82"/>
      <x:c r="AI136" s="82"/>
      <x:c r="AJ136" s="82"/>
      <x:c r="AK136" s="82"/>
      <x:c r="AL136" s="82"/>
      <x:c r="AM136" s="82"/>
      <x:c r="AN136" s="82"/>
      <x:c r="AO136" s="82"/>
      <x:c r="AP136" s="82"/>
      <x:c r="AQ136" s="82"/>
      <x:c r="AR136" s="82"/>
      <x:c r="AS136" s="82"/>
      <x:c r="AT136" s="82"/>
      <x:c r="AU136" s="82"/>
      <x:c r="AV136" s="82"/>
      <x:c r="AW136" s="82"/>
      <x:c r="AX136" s="82"/>
      <x:c r="AY136" s="82"/>
      <x:c r="AZ136" s="82"/>
      <x:c r="BA136" s="82"/>
      <x:c r="BB136" s="82"/>
      <x:c r="BC136" s="82"/>
      <x:c r="BD136" s="84" t="str">
        <x:f>IFERROR((COUNTIF(AZ136:BC136,"☑ Implémenté")+COUNTIF(AZ136:BC136,"☑ Oui")+0.5*COUNTIF(AZ136:BC136,"◐ Partiel"))/(COUNTIF(AZ136:BC136,"☑ Implémenté")+COUNTIF(AZ136:BC136,"☑ Oui")+COUNTIF(AZ136:BC136,"◐ Partiel")+COUNTIF(AZ136:BC136,"☐ Non implémenté")+COUNTIF(AZ136:BC136,"☐ Non")),"")</x:f>
      </x:c>
      <x:c r="BE136" s="84" t="str">
        <x:f>IFERROR((COUNTIF(H136:BD136,"☑ Implémenté")+COUNTIF(H136:BD136,"☑ Oui")+COUNTIF(H136:BD136,"DevOpsFundation")+0.5*COUNTIF(H136:BD136,"◐ Partiel"))/(COUNTIF(H136:BD136,"☑ Implémenté")+COUNTIF(H136:BD136,"☑ Oui")+COUNTIF(H136:BD136,"DevOpsFundation")+COUNTIF(H136:BD136,"◐ Partiel")+COUNTIF(H136:BD136,"☐ Non implémenté")+COUNTIF(H136:BD136,"☐ Non")),"")</x:f>
      </x:c>
      <x:c r="BF136" s="82" t="str">
        <x:f>IF(B136="","",COUNTIF(H136:BD136,"☐ Non implémenté")+COUNTIF(H136:BD136,"☐ Non")+COUNTIF(H136:BD136,"◐ Partiel"))</x:f>
      </x:c>
      <x:c r="BG136" s="82"/>
    </x:row>
    <x:row r="137">
      <x:c r="A137" s="82"/>
      <x:c r="B137" s="82"/>
      <x:c r="C137" s="82"/>
      <x:c r="D137" s="82"/>
      <x:c r="E137" s="82"/>
      <x:c r="F137" s="82"/>
      <x:c r="G137" s="82"/>
      <x:c r="H137" s="82"/>
      <x:c r="I137" s="82"/>
      <x:c r="J137" s="82"/>
      <x:c r="K137" s="82"/>
      <x:c r="L137" s="82"/>
      <x:c r="M137" s="82"/>
      <x:c r="N137" s="82"/>
      <x:c r="O137" s="82"/>
      <x:c r="P137" s="82"/>
      <x:c r="Q137" s="84" t="str">
        <x:f>IFERROR((COUNTIF(H137:P137,"☑ Implémenté")+COUNTIF(H137:P137,"☑ Oui")+0.5*COUNTIF(H137:P137,"◐ Partiel"))/(COUNTIF(H137:P137,"☑ Implémenté")+COUNTIF(H137:P137,"☑ Oui")+COUNTIF(H137:P137,"◐ Partiel")+COUNTIF(H137:P137,"☐ Non implémenté")+COUNTIF(H137:P137,"☐ Non")),"")</x:f>
      </x:c>
      <x:c r="R137" s="82"/>
      <x:c r="S137" s="82"/>
      <x:c r="T137" s="82"/>
      <x:c r="U137" s="82"/>
      <x:c r="V137" s="84" t="str">
        <x:f>IFERROR((COUNTIF(R137:U137,"☑ Implémenté")+COUNTIF(R137:U137,"☑ Oui")+0.5*COUNTIF(R137:U137,"◐ Partiel"))/(COUNTIF(R137:U137,"☑ Implémenté")+COUNTIF(R137:U137,"☑ Oui")+COUNTIF(R137:U137,"◐ Partiel")+COUNTIF(R137:U137,"☐ Non implémenté")+COUNTIF(R137:U137,"☐ Non")),"")</x:f>
      </x:c>
      <x:c r="W137" s="82"/>
      <x:c r="X137" s="82"/>
      <x:c r="Y137" s="84" t="str">
        <x:f>IFERROR((COUNTIF(W137:X137,"☑ Implémenté")+COUNTIF(W137:X137,"☑ Oui")+0.5*COUNTIF(W137:X137,"◐ Partiel"))/(COUNTIF(W137:X137,"☑ Implémenté")+COUNTIF(W137:X137,"☑ Oui")+COUNTIF(W137:X137,"◐ Partiel")+COUNTIF(W137:X137,"☐ Non implémenté")+COUNTIF(W137:X137,"☐ Non")),"")</x:f>
      </x:c>
      <x:c r="Z137" s="82"/>
      <x:c r="AA137" s="82"/>
      <x:c r="AB137" s="82"/>
      <x:c r="AC137" s="82"/>
      <x:c r="AD137" s="82"/>
      <x:c r="AE137" s="82"/>
      <x:c r="AF137" s="82"/>
      <x:c r="AG137" s="84"/>
      <x:c r="AH137" s="82"/>
      <x:c r="AI137" s="82"/>
      <x:c r="AJ137" s="82"/>
      <x:c r="AK137" s="82"/>
      <x:c r="AL137" s="82"/>
      <x:c r="AM137" s="82"/>
      <x:c r="AN137" s="82"/>
      <x:c r="AO137" s="82"/>
      <x:c r="AP137" s="82"/>
      <x:c r="AQ137" s="82"/>
      <x:c r="AR137" s="82"/>
      <x:c r="AS137" s="82"/>
      <x:c r="AT137" s="82"/>
      <x:c r="AU137" s="82"/>
      <x:c r="AV137" s="82"/>
      <x:c r="AW137" s="82"/>
      <x:c r="AX137" s="82"/>
      <x:c r="AY137" s="82"/>
      <x:c r="AZ137" s="82"/>
      <x:c r="BA137" s="82"/>
      <x:c r="BB137" s="82"/>
      <x:c r="BC137" s="82"/>
      <x:c r="BD137" s="84" t="str">
        <x:f>IFERROR((COUNTIF(AZ137:BC137,"☑ Implémenté")+COUNTIF(AZ137:BC137,"☑ Oui")+0.5*COUNTIF(AZ137:BC137,"◐ Partiel"))/(COUNTIF(AZ137:BC137,"☑ Implémenté")+COUNTIF(AZ137:BC137,"☑ Oui")+COUNTIF(AZ137:BC137,"◐ Partiel")+COUNTIF(AZ137:BC137,"☐ Non implémenté")+COUNTIF(AZ137:BC137,"☐ Non")),"")</x:f>
      </x:c>
      <x:c r="BE137" s="84" t="str">
        <x:f>IFERROR((COUNTIF(H137:BD137,"☑ Implémenté")+COUNTIF(H137:BD137,"☑ Oui")+COUNTIF(H137:BD137,"DevOpsFundation")+0.5*COUNTIF(H137:BD137,"◐ Partiel"))/(COUNTIF(H137:BD137,"☑ Implémenté")+COUNTIF(H137:BD137,"☑ Oui")+COUNTIF(H137:BD137,"DevOpsFundation")+COUNTIF(H137:BD137,"◐ Partiel")+COUNTIF(H137:BD137,"☐ Non implémenté")+COUNTIF(H137:BD137,"☐ Non")),"")</x:f>
      </x:c>
      <x:c r="BF137" s="82" t="str">
        <x:f>IF(B137="","",COUNTIF(H137:BD137,"☐ Non implémenté")+COUNTIF(H137:BD137,"☐ Non")+COUNTIF(H137:BD137,"◐ Partiel"))</x:f>
      </x:c>
      <x:c r="BG137" s="82"/>
    </x:row>
    <x:row r="138">
      <x:c r="A138" s="82"/>
      <x:c r="B138" s="82"/>
      <x:c r="C138" s="82"/>
      <x:c r="D138" s="82"/>
      <x:c r="E138" s="82"/>
      <x:c r="F138" s="82"/>
      <x:c r="G138" s="82"/>
      <x:c r="H138" s="82"/>
      <x:c r="I138" s="82"/>
      <x:c r="J138" s="82"/>
      <x:c r="K138" s="82"/>
      <x:c r="L138" s="82"/>
      <x:c r="M138" s="82"/>
      <x:c r="N138" s="82"/>
      <x:c r="O138" s="82"/>
      <x:c r="P138" s="82"/>
      <x:c r="Q138" s="84" t="str">
        <x:f>IFERROR((COUNTIF(H138:P138,"☑ Implémenté")+COUNTIF(H138:P138,"☑ Oui")+0.5*COUNTIF(H138:P138,"◐ Partiel"))/(COUNTIF(H138:P138,"☑ Implémenté")+COUNTIF(H138:P138,"☑ Oui")+COUNTIF(H138:P138,"◐ Partiel")+COUNTIF(H138:P138,"☐ Non implémenté")+COUNTIF(H138:P138,"☐ Non")),"")</x:f>
      </x:c>
      <x:c r="R138" s="82"/>
      <x:c r="S138" s="82"/>
      <x:c r="T138" s="82"/>
      <x:c r="U138" s="82"/>
      <x:c r="V138" s="84" t="str">
        <x:f>IFERROR((COUNTIF(R138:U138,"☑ Implémenté")+COUNTIF(R138:U138,"☑ Oui")+0.5*COUNTIF(R138:U138,"◐ Partiel"))/(COUNTIF(R138:U138,"☑ Implémenté")+COUNTIF(R138:U138,"☑ Oui")+COUNTIF(R138:U138,"◐ Partiel")+COUNTIF(R138:U138,"☐ Non implémenté")+COUNTIF(R138:U138,"☐ Non")),"")</x:f>
      </x:c>
      <x:c r="W138" s="82"/>
      <x:c r="X138" s="82"/>
      <x:c r="Y138" s="84" t="str">
        <x:f>IFERROR((COUNTIF(W138:X138,"☑ Implémenté")+COUNTIF(W138:X138,"☑ Oui")+0.5*COUNTIF(W138:X138,"◐ Partiel"))/(COUNTIF(W138:X138,"☑ Implémenté")+COUNTIF(W138:X138,"☑ Oui")+COUNTIF(W138:X138,"◐ Partiel")+COUNTIF(W138:X138,"☐ Non implémenté")+COUNTIF(W138:X138,"☐ Non")),"")</x:f>
      </x:c>
      <x:c r="Z138" s="82"/>
      <x:c r="AA138" s="82"/>
      <x:c r="AB138" s="82"/>
      <x:c r="AC138" s="82"/>
      <x:c r="AD138" s="82"/>
      <x:c r="AE138" s="82"/>
      <x:c r="AF138" s="82"/>
      <x:c r="AG138" s="84"/>
      <x:c r="AH138" s="82"/>
      <x:c r="AI138" s="82"/>
      <x:c r="AJ138" s="82"/>
      <x:c r="AK138" s="82"/>
      <x:c r="AL138" s="82"/>
      <x:c r="AM138" s="82"/>
      <x:c r="AN138" s="82"/>
      <x:c r="AO138" s="82"/>
      <x:c r="AP138" s="82"/>
      <x:c r="AQ138" s="82"/>
      <x:c r="AR138" s="82"/>
      <x:c r="AS138" s="82"/>
      <x:c r="AT138" s="82"/>
      <x:c r="AU138" s="82"/>
      <x:c r="AV138" s="82"/>
      <x:c r="AW138" s="82"/>
      <x:c r="AX138" s="82"/>
      <x:c r="AY138" s="82"/>
      <x:c r="AZ138" s="82"/>
      <x:c r="BA138" s="82"/>
      <x:c r="BB138" s="82"/>
      <x:c r="BC138" s="82"/>
      <x:c r="BD138" s="84" t="str">
        <x:f>IFERROR((COUNTIF(AZ138:BC138,"☑ Implémenté")+COUNTIF(AZ138:BC138,"☑ Oui")+0.5*COUNTIF(AZ138:BC138,"◐ Partiel"))/(COUNTIF(AZ138:BC138,"☑ Implémenté")+COUNTIF(AZ138:BC138,"☑ Oui")+COUNTIF(AZ138:BC138,"◐ Partiel")+COUNTIF(AZ138:BC138,"☐ Non implémenté")+COUNTIF(AZ138:BC138,"☐ Non")),"")</x:f>
      </x:c>
      <x:c r="BE138" s="84" t="str">
        <x:f>IFERROR((COUNTIF(H138:BD138,"☑ Implémenté")+COUNTIF(H138:BD138,"☑ Oui")+COUNTIF(H138:BD138,"DevOpsFundation")+0.5*COUNTIF(H138:BD138,"◐ Partiel"))/(COUNTIF(H138:BD138,"☑ Implémenté")+COUNTIF(H138:BD138,"☑ Oui")+COUNTIF(H138:BD138,"DevOpsFundation")+COUNTIF(H138:BD138,"◐ Partiel")+COUNTIF(H138:BD138,"☐ Non implémenté")+COUNTIF(H138:BD138,"☐ Non")),"")</x:f>
      </x:c>
      <x:c r="BF138" s="82" t="str">
        <x:f>IF(B138="","",COUNTIF(H138:BD138,"☐ Non implémenté")+COUNTIF(H138:BD138,"☐ Non")+COUNTIF(H138:BD138,"◐ Partiel"))</x:f>
      </x:c>
      <x:c r="BG138" s="82"/>
    </x:row>
    <x:row r="139">
      <x:c r="A139" s="82"/>
      <x:c r="B139" s="82"/>
      <x:c r="C139" s="82"/>
      <x:c r="D139" s="82"/>
      <x:c r="E139" s="82"/>
      <x:c r="F139" s="82"/>
      <x:c r="G139" s="82"/>
      <x:c r="H139" s="82"/>
      <x:c r="I139" s="82"/>
      <x:c r="J139" s="82"/>
      <x:c r="K139" s="82"/>
      <x:c r="L139" s="82"/>
      <x:c r="M139" s="82"/>
      <x:c r="N139" s="82"/>
      <x:c r="O139" s="82"/>
      <x:c r="P139" s="82"/>
      <x:c r="Q139" s="84" t="str">
        <x:f>IFERROR((COUNTIF(H139:P139,"☑ Implémenté")+COUNTIF(H139:P139,"☑ Oui")+0.5*COUNTIF(H139:P139,"◐ Partiel"))/(COUNTIF(H139:P139,"☑ Implémenté")+COUNTIF(H139:P139,"☑ Oui")+COUNTIF(H139:P139,"◐ Partiel")+COUNTIF(H139:P139,"☐ Non implémenté")+COUNTIF(H139:P139,"☐ Non")),"")</x:f>
      </x:c>
      <x:c r="R139" s="82"/>
      <x:c r="S139" s="82"/>
      <x:c r="T139" s="82"/>
      <x:c r="U139" s="82"/>
      <x:c r="V139" s="84" t="str">
        <x:f>IFERROR((COUNTIF(R139:U139,"☑ Implémenté")+COUNTIF(R139:U139,"☑ Oui")+0.5*COUNTIF(R139:U139,"◐ Partiel"))/(COUNTIF(R139:U139,"☑ Implémenté")+COUNTIF(R139:U139,"☑ Oui")+COUNTIF(R139:U139,"◐ Partiel")+COUNTIF(R139:U139,"☐ Non implémenté")+COUNTIF(R139:U139,"☐ Non")),"")</x:f>
      </x:c>
      <x:c r="W139" s="82"/>
      <x:c r="X139" s="82"/>
      <x:c r="Y139" s="84" t="str">
        <x:f>IFERROR((COUNTIF(W139:X139,"☑ Implémenté")+COUNTIF(W139:X139,"☑ Oui")+0.5*COUNTIF(W139:X139,"◐ Partiel"))/(COUNTIF(W139:X139,"☑ Implémenté")+COUNTIF(W139:X139,"☑ Oui")+COUNTIF(W139:X139,"◐ Partiel")+COUNTIF(W139:X139,"☐ Non implémenté")+COUNTIF(W139:X139,"☐ Non")),"")</x:f>
      </x:c>
      <x:c r="Z139" s="82"/>
      <x:c r="AA139" s="82"/>
      <x:c r="AB139" s="82"/>
      <x:c r="AC139" s="82"/>
      <x:c r="AD139" s="82"/>
      <x:c r="AE139" s="82"/>
      <x:c r="AF139" s="82"/>
      <x:c r="AG139" s="84"/>
      <x:c r="AH139" s="82"/>
      <x:c r="AI139" s="82"/>
      <x:c r="AJ139" s="82"/>
      <x:c r="AK139" s="82"/>
      <x:c r="AL139" s="82"/>
      <x:c r="AM139" s="82"/>
      <x:c r="AN139" s="82"/>
      <x:c r="AO139" s="82"/>
      <x:c r="AP139" s="82"/>
      <x:c r="AQ139" s="82"/>
      <x:c r="AR139" s="82"/>
      <x:c r="AS139" s="82"/>
      <x:c r="AT139" s="82"/>
      <x:c r="AU139" s="82"/>
      <x:c r="AV139" s="82"/>
      <x:c r="AW139" s="82"/>
      <x:c r="AX139" s="82"/>
      <x:c r="AY139" s="82"/>
      <x:c r="AZ139" s="82"/>
      <x:c r="BA139" s="82"/>
      <x:c r="BB139" s="82"/>
      <x:c r="BC139" s="82"/>
      <x:c r="BD139" s="84" t="str">
        <x:f>IFERROR((COUNTIF(AZ139:BC139,"☑ Implémenté")+COUNTIF(AZ139:BC139,"☑ Oui")+0.5*COUNTIF(AZ139:BC139,"◐ Partiel"))/(COUNTIF(AZ139:BC139,"☑ Implémenté")+COUNTIF(AZ139:BC139,"☑ Oui")+COUNTIF(AZ139:BC139,"◐ Partiel")+COUNTIF(AZ139:BC139,"☐ Non implémenté")+COUNTIF(AZ139:BC139,"☐ Non")),"")</x:f>
      </x:c>
      <x:c r="BE139" s="84" t="str">
        <x:f>IFERROR((COUNTIF(H139:BD139,"☑ Implémenté")+COUNTIF(H139:BD139,"☑ Oui")+COUNTIF(H139:BD139,"DevOpsFundation")+0.5*COUNTIF(H139:BD139,"◐ Partiel"))/(COUNTIF(H139:BD139,"☑ Implémenté")+COUNTIF(H139:BD139,"☑ Oui")+COUNTIF(H139:BD139,"DevOpsFundation")+COUNTIF(H139:BD139,"◐ Partiel")+COUNTIF(H139:BD139,"☐ Non implémenté")+COUNTIF(H139:BD139,"☐ Non")),"")</x:f>
      </x:c>
      <x:c r="BF139" s="82" t="str">
        <x:f>IF(B139="","",COUNTIF(H139:BD139,"☐ Non implémenté")+COUNTIF(H139:BD139,"☐ Non")+COUNTIF(H139:BD139,"◐ Partiel"))</x:f>
      </x:c>
      <x:c r="BG139" s="82"/>
    </x:row>
    <x:row r="140">
      <x:c r="A140" s="82"/>
      <x:c r="B140" s="82"/>
      <x:c r="C140" s="82"/>
      <x:c r="D140" s="82"/>
      <x:c r="E140" s="82"/>
      <x:c r="F140" s="82"/>
      <x:c r="G140" s="82"/>
      <x:c r="H140" s="82"/>
      <x:c r="I140" s="82"/>
      <x:c r="J140" s="82"/>
      <x:c r="K140" s="82"/>
      <x:c r="L140" s="82"/>
      <x:c r="M140" s="82"/>
      <x:c r="N140" s="82"/>
      <x:c r="O140" s="82"/>
      <x:c r="P140" s="82"/>
      <x:c r="Q140" s="84" t="str">
        <x:f>IFERROR((COUNTIF(H140:P140,"☑ Implémenté")+COUNTIF(H140:P140,"☑ Oui")+0.5*COUNTIF(H140:P140,"◐ Partiel"))/(COUNTIF(H140:P140,"☑ Implémenté")+COUNTIF(H140:P140,"☑ Oui")+COUNTIF(H140:P140,"◐ Partiel")+COUNTIF(H140:P140,"☐ Non implémenté")+COUNTIF(H140:P140,"☐ Non")),"")</x:f>
      </x:c>
      <x:c r="R140" s="82"/>
      <x:c r="S140" s="82"/>
      <x:c r="T140" s="82"/>
      <x:c r="U140" s="82"/>
      <x:c r="V140" s="84" t="str">
        <x:f>IFERROR((COUNTIF(R140:U140,"☑ Implémenté")+COUNTIF(R140:U140,"☑ Oui")+0.5*COUNTIF(R140:U140,"◐ Partiel"))/(COUNTIF(R140:U140,"☑ Implémenté")+COUNTIF(R140:U140,"☑ Oui")+COUNTIF(R140:U140,"◐ Partiel")+COUNTIF(R140:U140,"☐ Non implémenté")+COUNTIF(R140:U140,"☐ Non")),"")</x:f>
      </x:c>
      <x:c r="W140" s="82"/>
      <x:c r="X140" s="82"/>
      <x:c r="Y140" s="84" t="str">
        <x:f>IFERROR((COUNTIF(W140:X140,"☑ Implémenté")+COUNTIF(W140:X140,"☑ Oui")+0.5*COUNTIF(W140:X140,"◐ Partiel"))/(COUNTIF(W140:X140,"☑ Implémenté")+COUNTIF(W140:X140,"☑ Oui")+COUNTIF(W140:X140,"◐ Partiel")+COUNTIF(W140:X140,"☐ Non implémenté")+COUNTIF(W140:X140,"☐ Non")),"")</x:f>
      </x:c>
      <x:c r="Z140" s="82"/>
      <x:c r="AA140" s="82"/>
      <x:c r="AB140" s="82"/>
      <x:c r="AC140" s="82"/>
      <x:c r="AD140" s="82"/>
      <x:c r="AE140" s="82"/>
      <x:c r="AF140" s="82"/>
      <x:c r="AG140" s="84"/>
      <x:c r="AH140" s="82"/>
      <x:c r="AI140" s="82"/>
      <x:c r="AJ140" s="82"/>
      <x:c r="AK140" s="82"/>
      <x:c r="AL140" s="82"/>
      <x:c r="AM140" s="82"/>
      <x:c r="AN140" s="82"/>
      <x:c r="AO140" s="82"/>
      <x:c r="AP140" s="82"/>
      <x:c r="AQ140" s="82"/>
      <x:c r="AR140" s="82"/>
      <x:c r="AS140" s="82"/>
      <x:c r="AT140" s="82"/>
      <x:c r="AU140" s="82"/>
      <x:c r="AV140" s="82"/>
      <x:c r="AW140" s="82"/>
      <x:c r="AX140" s="82"/>
      <x:c r="AY140" s="82"/>
      <x:c r="AZ140" s="82"/>
      <x:c r="BA140" s="82"/>
      <x:c r="BB140" s="82"/>
      <x:c r="BC140" s="82"/>
      <x:c r="BD140" s="84" t="str">
        <x:f>IFERROR((COUNTIF(AZ140:BC140,"☑ Implémenté")+COUNTIF(AZ140:BC140,"☑ Oui")+0.5*COUNTIF(AZ140:BC140,"◐ Partiel"))/(COUNTIF(AZ140:BC140,"☑ Implémenté")+COUNTIF(AZ140:BC140,"☑ Oui")+COUNTIF(AZ140:BC140,"◐ Partiel")+COUNTIF(AZ140:BC140,"☐ Non implémenté")+COUNTIF(AZ140:BC140,"☐ Non")),"")</x:f>
      </x:c>
      <x:c r="BE140" s="84" t="str">
        <x:f>IFERROR((COUNTIF(H140:BD140,"☑ Implémenté")+COUNTIF(H140:BD140,"☑ Oui")+COUNTIF(H140:BD140,"DevOpsFundation")+0.5*COUNTIF(H140:BD140,"◐ Partiel"))/(COUNTIF(H140:BD140,"☑ Implémenté")+COUNTIF(H140:BD140,"☑ Oui")+COUNTIF(H140:BD140,"DevOpsFundation")+COUNTIF(H140:BD140,"◐ Partiel")+COUNTIF(H140:BD140,"☐ Non implémenté")+COUNTIF(H140:BD140,"☐ Non")),"")</x:f>
      </x:c>
      <x:c r="BF140" s="82" t="str">
        <x:f>IF(B140="","",COUNTIF(H140:BD140,"☐ Non implémenté")+COUNTIF(H140:BD140,"☐ Non")+COUNTIF(H140:BD140,"◐ Partiel"))</x:f>
      </x:c>
      <x:c r="BG140" s="82"/>
    </x:row>
    <x:row r="141">
      <x:c r="A141" s="82"/>
      <x:c r="B141" s="82"/>
      <x:c r="C141" s="82"/>
      <x:c r="D141" s="82"/>
      <x:c r="E141" s="82"/>
      <x:c r="F141" s="82"/>
      <x:c r="G141" s="82"/>
      <x:c r="H141" s="82"/>
      <x:c r="I141" s="82"/>
      <x:c r="J141" s="82"/>
      <x:c r="K141" s="82"/>
      <x:c r="L141" s="82"/>
      <x:c r="M141" s="82"/>
      <x:c r="N141" s="82"/>
      <x:c r="O141" s="82"/>
      <x:c r="P141" s="82"/>
      <x:c r="Q141" s="84" t="str">
        <x:f>IFERROR((COUNTIF(H141:P141,"☑ Implémenté")+COUNTIF(H141:P141,"☑ Oui")+0.5*COUNTIF(H141:P141,"◐ Partiel"))/(COUNTIF(H141:P141,"☑ Implémenté")+COUNTIF(H141:P141,"☑ Oui")+COUNTIF(H141:P141,"◐ Partiel")+COUNTIF(H141:P141,"☐ Non implémenté")+COUNTIF(H141:P141,"☐ Non")),"")</x:f>
      </x:c>
      <x:c r="R141" s="82"/>
      <x:c r="S141" s="82"/>
      <x:c r="T141" s="82"/>
      <x:c r="U141" s="82"/>
      <x:c r="V141" s="84" t="str">
        <x:f>IFERROR((COUNTIF(R141:U141,"☑ Implémenté")+COUNTIF(R141:U141,"☑ Oui")+0.5*COUNTIF(R141:U141,"◐ Partiel"))/(COUNTIF(R141:U141,"☑ Implémenté")+COUNTIF(R141:U141,"☑ Oui")+COUNTIF(R141:U141,"◐ Partiel")+COUNTIF(R141:U141,"☐ Non implémenté")+COUNTIF(R141:U141,"☐ Non")),"")</x:f>
      </x:c>
      <x:c r="W141" s="82"/>
      <x:c r="X141" s="82"/>
      <x:c r="Y141" s="84" t="str">
        <x:f>IFERROR((COUNTIF(W141:X141,"☑ Implémenté")+COUNTIF(W141:X141,"☑ Oui")+0.5*COUNTIF(W141:X141,"◐ Partiel"))/(COUNTIF(W141:X141,"☑ Implémenté")+COUNTIF(W141:X141,"☑ Oui")+COUNTIF(W141:X141,"◐ Partiel")+COUNTIF(W141:X141,"☐ Non implémenté")+COUNTIF(W141:X141,"☐ Non")),"")</x:f>
      </x:c>
      <x:c r="Z141" s="82"/>
      <x:c r="AA141" s="82"/>
      <x:c r="AB141" s="82"/>
      <x:c r="AC141" s="82"/>
      <x:c r="AD141" s="82"/>
      <x:c r="AE141" s="82"/>
      <x:c r="AF141" s="82"/>
      <x:c r="AG141" s="84"/>
      <x:c r="AH141" s="82"/>
      <x:c r="AI141" s="82"/>
      <x:c r="AJ141" s="82"/>
      <x:c r="AK141" s="82"/>
      <x:c r="AL141" s="82"/>
      <x:c r="AM141" s="82"/>
      <x:c r="AN141" s="82"/>
      <x:c r="AO141" s="82"/>
      <x:c r="AP141" s="82"/>
      <x:c r="AQ141" s="82"/>
      <x:c r="AR141" s="82"/>
      <x:c r="AS141" s="82"/>
      <x:c r="AT141" s="82"/>
      <x:c r="AU141" s="82"/>
      <x:c r="AV141" s="82"/>
      <x:c r="AW141" s="82"/>
      <x:c r="AX141" s="82"/>
      <x:c r="AY141" s="82"/>
      <x:c r="AZ141" s="82"/>
      <x:c r="BA141" s="82"/>
      <x:c r="BB141" s="82"/>
      <x:c r="BC141" s="82"/>
      <x:c r="BD141" s="84" t="str">
        <x:f>IFERROR((COUNTIF(AZ141:BC141,"☑ Implémenté")+COUNTIF(AZ141:BC141,"☑ Oui")+0.5*COUNTIF(AZ141:BC141,"◐ Partiel"))/(COUNTIF(AZ141:BC141,"☑ Implémenté")+COUNTIF(AZ141:BC141,"☑ Oui")+COUNTIF(AZ141:BC141,"◐ Partiel")+COUNTIF(AZ141:BC141,"☐ Non implémenté")+COUNTIF(AZ141:BC141,"☐ Non")),"")</x:f>
      </x:c>
      <x:c r="BE141" s="84" t="str">
        <x:f>IFERROR((COUNTIF(H141:BD141,"☑ Implémenté")+COUNTIF(H141:BD141,"☑ Oui")+COUNTIF(H141:BD141,"DevOpsFundation")+0.5*COUNTIF(H141:BD141,"◐ Partiel"))/(COUNTIF(H141:BD141,"☑ Implémenté")+COUNTIF(H141:BD141,"☑ Oui")+COUNTIF(H141:BD141,"DevOpsFundation")+COUNTIF(H141:BD141,"◐ Partiel")+COUNTIF(H141:BD141,"☐ Non implémenté")+COUNTIF(H141:BD141,"☐ Non")),"")</x:f>
      </x:c>
      <x:c r="BF141" s="82" t="str">
        <x:f>IF(B141="","",COUNTIF(H141:BD141,"☐ Non implémenté")+COUNTIF(H141:BD141,"☐ Non")+COUNTIF(H141:BD141,"◐ Partiel"))</x:f>
      </x:c>
      <x:c r="BG141" s="82"/>
    </x:row>
    <x:row r="142">
      <x:c r="A142" s="82"/>
      <x:c r="B142" s="82"/>
      <x:c r="C142" s="82"/>
      <x:c r="D142" s="82"/>
      <x:c r="E142" s="82"/>
      <x:c r="F142" s="82"/>
      <x:c r="G142" s="82"/>
      <x:c r="H142" s="82"/>
      <x:c r="I142" s="82"/>
      <x:c r="J142" s="82"/>
      <x:c r="K142" s="82"/>
      <x:c r="L142" s="82"/>
      <x:c r="M142" s="82"/>
      <x:c r="N142" s="82"/>
      <x:c r="O142" s="82"/>
      <x:c r="P142" s="82"/>
      <x:c r="Q142" s="84" t="str">
        <x:f>IFERROR((COUNTIF(H142:P142,"☑ Implémenté")+COUNTIF(H142:P142,"☑ Oui")+0.5*COUNTIF(H142:P142,"◐ Partiel"))/(COUNTIF(H142:P142,"☑ Implémenté")+COUNTIF(H142:P142,"☑ Oui")+COUNTIF(H142:P142,"◐ Partiel")+COUNTIF(H142:P142,"☐ Non implémenté")+COUNTIF(H142:P142,"☐ Non")),"")</x:f>
      </x:c>
      <x:c r="R142" s="82"/>
      <x:c r="S142" s="82"/>
      <x:c r="T142" s="82"/>
      <x:c r="U142" s="82"/>
      <x:c r="V142" s="84" t="str">
        <x:f>IFERROR((COUNTIF(R142:U142,"☑ Implémenté")+COUNTIF(R142:U142,"☑ Oui")+0.5*COUNTIF(R142:U142,"◐ Partiel"))/(COUNTIF(R142:U142,"☑ Implémenté")+COUNTIF(R142:U142,"☑ Oui")+COUNTIF(R142:U142,"◐ Partiel")+COUNTIF(R142:U142,"☐ Non implémenté")+COUNTIF(R142:U142,"☐ Non")),"")</x:f>
      </x:c>
      <x:c r="W142" s="82"/>
      <x:c r="X142" s="82"/>
      <x:c r="Y142" s="84" t="str">
        <x:f>IFERROR((COUNTIF(W142:X142,"☑ Implémenté")+COUNTIF(W142:X142,"☑ Oui")+0.5*COUNTIF(W142:X142,"◐ Partiel"))/(COUNTIF(W142:X142,"☑ Implémenté")+COUNTIF(W142:X142,"☑ Oui")+COUNTIF(W142:X142,"◐ Partiel")+COUNTIF(W142:X142,"☐ Non implémenté")+COUNTIF(W142:X142,"☐ Non")),"")</x:f>
      </x:c>
      <x:c r="Z142" s="82"/>
      <x:c r="AA142" s="82"/>
      <x:c r="AB142" s="82"/>
      <x:c r="AC142" s="82"/>
      <x:c r="AD142" s="82"/>
      <x:c r="AE142" s="82"/>
      <x:c r="AF142" s="82"/>
      <x:c r="AG142" s="84"/>
      <x:c r="AH142" s="82"/>
      <x:c r="AI142" s="82"/>
      <x:c r="AJ142" s="82"/>
      <x:c r="AK142" s="82"/>
      <x:c r="AL142" s="82"/>
      <x:c r="AM142" s="82"/>
      <x:c r="AN142" s="82"/>
      <x:c r="AO142" s="82"/>
      <x:c r="AP142" s="82"/>
      <x:c r="AQ142" s="82"/>
      <x:c r="AR142" s="82"/>
      <x:c r="AS142" s="82"/>
      <x:c r="AT142" s="82"/>
      <x:c r="AU142" s="82"/>
      <x:c r="AV142" s="82"/>
      <x:c r="AW142" s="82"/>
      <x:c r="AX142" s="82"/>
      <x:c r="AY142" s="82"/>
      <x:c r="AZ142" s="82"/>
      <x:c r="BA142" s="82"/>
      <x:c r="BB142" s="82"/>
      <x:c r="BC142" s="82"/>
      <x:c r="BD142" s="84" t="str">
        <x:f>IFERROR((COUNTIF(AZ142:BC142,"☑ Implémenté")+COUNTIF(AZ142:BC142,"☑ Oui")+0.5*COUNTIF(AZ142:BC142,"◐ Partiel"))/(COUNTIF(AZ142:BC142,"☑ Implémenté")+COUNTIF(AZ142:BC142,"☑ Oui")+COUNTIF(AZ142:BC142,"◐ Partiel")+COUNTIF(AZ142:BC142,"☐ Non implémenté")+COUNTIF(AZ142:BC142,"☐ Non")),"")</x:f>
      </x:c>
      <x:c r="BE142" s="84" t="str">
        <x:f>IFERROR((COUNTIF(H142:BD142,"☑ Implémenté")+COUNTIF(H142:BD142,"☑ Oui")+COUNTIF(H142:BD142,"DevOpsFundation")+0.5*COUNTIF(H142:BD142,"◐ Partiel"))/(COUNTIF(H142:BD142,"☑ Implémenté")+COUNTIF(H142:BD142,"☑ Oui")+COUNTIF(H142:BD142,"DevOpsFundation")+COUNTIF(H142:BD142,"◐ Partiel")+COUNTIF(H142:BD142,"☐ Non implémenté")+COUNTIF(H142:BD142,"☐ Non")),"")</x:f>
      </x:c>
      <x:c r="BF142" s="82" t="str">
        <x:f>IF(B142="","",COUNTIF(H142:BD142,"☐ Non implémenté")+COUNTIF(H142:BD142,"☐ Non")+COUNTIF(H142:BD142,"◐ Partiel"))</x:f>
      </x:c>
      <x:c r="BG142" s="82"/>
    </x:row>
    <x:row r="143">
      <x:c r="A143" s="82"/>
      <x:c r="B143" s="82"/>
      <x:c r="C143" s="82"/>
      <x:c r="D143" s="82"/>
      <x:c r="E143" s="82"/>
      <x:c r="F143" s="82"/>
      <x:c r="G143" s="82"/>
      <x:c r="H143" s="82"/>
      <x:c r="I143" s="82"/>
      <x:c r="J143" s="82"/>
      <x:c r="K143" s="82"/>
      <x:c r="L143" s="82"/>
      <x:c r="M143" s="82"/>
      <x:c r="N143" s="82"/>
      <x:c r="O143" s="82"/>
      <x:c r="P143" s="82"/>
      <x:c r="Q143" s="84" t="str">
        <x:f>IFERROR((COUNTIF(H143:P143,"☑ Implémenté")+COUNTIF(H143:P143,"☑ Oui")+0.5*COUNTIF(H143:P143,"◐ Partiel"))/(COUNTIF(H143:P143,"☑ Implémenté")+COUNTIF(H143:P143,"☑ Oui")+COUNTIF(H143:P143,"◐ Partiel")+COUNTIF(H143:P143,"☐ Non implémenté")+COUNTIF(H143:P143,"☐ Non")),"")</x:f>
      </x:c>
      <x:c r="R143" s="82"/>
      <x:c r="S143" s="82"/>
      <x:c r="T143" s="82"/>
      <x:c r="U143" s="82"/>
      <x:c r="V143" s="84" t="str">
        <x:f>IFERROR((COUNTIF(R143:U143,"☑ Implémenté")+COUNTIF(R143:U143,"☑ Oui")+0.5*COUNTIF(R143:U143,"◐ Partiel"))/(COUNTIF(R143:U143,"☑ Implémenté")+COUNTIF(R143:U143,"☑ Oui")+COUNTIF(R143:U143,"◐ Partiel")+COUNTIF(R143:U143,"☐ Non implémenté")+COUNTIF(R143:U143,"☐ Non")),"")</x:f>
      </x:c>
      <x:c r="W143" s="82"/>
      <x:c r="X143" s="82"/>
      <x:c r="Y143" s="84" t="str">
        <x:f>IFERROR((COUNTIF(W143:X143,"☑ Implémenté")+COUNTIF(W143:X143,"☑ Oui")+0.5*COUNTIF(W143:X143,"◐ Partiel"))/(COUNTIF(W143:X143,"☑ Implémenté")+COUNTIF(W143:X143,"☑ Oui")+COUNTIF(W143:X143,"◐ Partiel")+COUNTIF(W143:X143,"☐ Non implémenté")+COUNTIF(W143:X143,"☐ Non")),"")</x:f>
      </x:c>
      <x:c r="Z143" s="82"/>
      <x:c r="AA143" s="82"/>
      <x:c r="AB143" s="82"/>
      <x:c r="AC143" s="82"/>
      <x:c r="AD143" s="82"/>
      <x:c r="AE143" s="82"/>
      <x:c r="AF143" s="82"/>
      <x:c r="AG143" s="84"/>
      <x:c r="AH143" s="82"/>
      <x:c r="AI143" s="82"/>
      <x:c r="AJ143" s="82"/>
      <x:c r="AK143" s="82"/>
      <x:c r="AL143" s="82"/>
      <x:c r="AM143" s="82"/>
      <x:c r="AN143" s="82"/>
      <x:c r="AO143" s="82"/>
      <x:c r="AP143" s="82"/>
      <x:c r="AQ143" s="82"/>
      <x:c r="AR143" s="82"/>
      <x:c r="AS143" s="82"/>
      <x:c r="AT143" s="82"/>
      <x:c r="AU143" s="82"/>
      <x:c r="AV143" s="82"/>
      <x:c r="AW143" s="82"/>
      <x:c r="AX143" s="82"/>
      <x:c r="AY143" s="82"/>
      <x:c r="AZ143" s="82"/>
      <x:c r="BA143" s="82"/>
      <x:c r="BB143" s="82"/>
      <x:c r="BC143" s="82"/>
      <x:c r="BD143" s="84" t="str">
        <x:f>IFERROR((COUNTIF(AZ143:BC143,"☑ Implémenté")+COUNTIF(AZ143:BC143,"☑ Oui")+0.5*COUNTIF(AZ143:BC143,"◐ Partiel"))/(COUNTIF(AZ143:BC143,"☑ Implémenté")+COUNTIF(AZ143:BC143,"☑ Oui")+COUNTIF(AZ143:BC143,"◐ Partiel")+COUNTIF(AZ143:BC143,"☐ Non implémenté")+COUNTIF(AZ143:BC143,"☐ Non")),"")</x:f>
      </x:c>
      <x:c r="BE143" s="84" t="str">
        <x:f>IFERROR((COUNTIF(H143:BD143,"☑ Implémenté")+COUNTIF(H143:BD143,"☑ Oui")+COUNTIF(H143:BD143,"DevOpsFundation")+0.5*COUNTIF(H143:BD143,"◐ Partiel"))/(COUNTIF(H143:BD143,"☑ Implémenté")+COUNTIF(H143:BD143,"☑ Oui")+COUNTIF(H143:BD143,"DevOpsFundation")+COUNTIF(H143:BD143,"◐ Partiel")+COUNTIF(H143:BD143,"☐ Non implémenté")+COUNTIF(H143:BD143,"☐ Non")),"")</x:f>
      </x:c>
      <x:c r="BF143" s="82" t="str">
        <x:f>IF(B143="","",COUNTIF(H143:BD143,"☐ Non implémenté")+COUNTIF(H143:BD143,"☐ Non")+COUNTIF(H143:BD143,"◐ Partiel"))</x:f>
      </x:c>
      <x:c r="BG143" s="82"/>
    </x:row>
    <x:row r="144">
      <x:c r="A144" s="82"/>
      <x:c r="B144" s="82"/>
      <x:c r="C144" s="82"/>
      <x:c r="D144" s="82"/>
      <x:c r="E144" s="82"/>
      <x:c r="F144" s="82"/>
      <x:c r="G144" s="82"/>
      <x:c r="H144" s="82"/>
      <x:c r="I144" s="82"/>
      <x:c r="J144" s="82"/>
      <x:c r="K144" s="82"/>
      <x:c r="L144" s="82"/>
      <x:c r="M144" s="82"/>
      <x:c r="N144" s="82"/>
      <x:c r="O144" s="82"/>
      <x:c r="P144" s="82"/>
      <x:c r="Q144" s="84" t="str">
        <x:f>IFERROR((COUNTIF(H144:P144,"☑ Implémenté")+COUNTIF(H144:P144,"☑ Oui")+0.5*COUNTIF(H144:P144,"◐ Partiel"))/(COUNTIF(H144:P144,"☑ Implémenté")+COUNTIF(H144:P144,"☑ Oui")+COUNTIF(H144:P144,"◐ Partiel")+COUNTIF(H144:P144,"☐ Non implémenté")+COUNTIF(H144:P144,"☐ Non")),"")</x:f>
      </x:c>
      <x:c r="R144" s="82"/>
      <x:c r="S144" s="82"/>
      <x:c r="T144" s="82"/>
      <x:c r="U144" s="82"/>
      <x:c r="V144" s="84" t="str">
        <x:f>IFERROR((COUNTIF(R144:U144,"☑ Implémenté")+COUNTIF(R144:U144,"☑ Oui")+0.5*COUNTIF(R144:U144,"◐ Partiel"))/(COUNTIF(R144:U144,"☑ Implémenté")+COUNTIF(R144:U144,"☑ Oui")+COUNTIF(R144:U144,"◐ Partiel")+COUNTIF(R144:U144,"☐ Non implémenté")+COUNTIF(R144:U144,"☐ Non")),"")</x:f>
      </x:c>
      <x:c r="W144" s="82"/>
      <x:c r="X144" s="82"/>
      <x:c r="Y144" s="84" t="str">
        <x:f>IFERROR((COUNTIF(W144:X144,"☑ Implémenté")+COUNTIF(W144:X144,"☑ Oui")+0.5*COUNTIF(W144:X144,"◐ Partiel"))/(COUNTIF(W144:X144,"☑ Implémenté")+COUNTIF(W144:X144,"☑ Oui")+COUNTIF(W144:X144,"◐ Partiel")+COUNTIF(W144:X144,"☐ Non implémenté")+COUNTIF(W144:X144,"☐ Non")),"")</x:f>
      </x:c>
      <x:c r="Z144" s="82"/>
      <x:c r="AA144" s="82"/>
      <x:c r="AB144" s="82"/>
      <x:c r="AC144" s="82"/>
      <x:c r="AD144" s="82"/>
      <x:c r="AE144" s="82"/>
      <x:c r="AF144" s="82"/>
      <x:c r="AG144" s="84"/>
      <x:c r="AH144" s="82"/>
      <x:c r="AI144" s="82"/>
      <x:c r="AJ144" s="82"/>
      <x:c r="AK144" s="82"/>
      <x:c r="AL144" s="82"/>
      <x:c r="AM144" s="82"/>
      <x:c r="AN144" s="82"/>
      <x:c r="AO144" s="82"/>
      <x:c r="AP144" s="82"/>
      <x:c r="AQ144" s="82"/>
      <x:c r="AR144" s="82"/>
      <x:c r="AS144" s="82"/>
      <x:c r="AT144" s="82"/>
      <x:c r="AU144" s="82"/>
      <x:c r="AV144" s="82"/>
      <x:c r="AW144" s="82"/>
      <x:c r="AX144" s="82"/>
      <x:c r="AY144" s="82"/>
      <x:c r="AZ144" s="82"/>
      <x:c r="BA144" s="82"/>
      <x:c r="BB144" s="82"/>
      <x:c r="BC144" s="82"/>
      <x:c r="BD144" s="84" t="str">
        <x:f>IFERROR((COUNTIF(AZ144:BC144,"☑ Implémenté")+COUNTIF(AZ144:BC144,"☑ Oui")+0.5*COUNTIF(AZ144:BC144,"◐ Partiel"))/(COUNTIF(AZ144:BC144,"☑ Implémenté")+COUNTIF(AZ144:BC144,"☑ Oui")+COUNTIF(AZ144:BC144,"◐ Partiel")+COUNTIF(AZ144:BC144,"☐ Non implémenté")+COUNTIF(AZ144:BC144,"☐ Non")),"")</x:f>
      </x:c>
      <x:c r="BE144" s="84" t="str">
        <x:f>IFERROR((COUNTIF(H144:BD144,"☑ Implémenté")+COUNTIF(H144:BD144,"☑ Oui")+COUNTIF(H144:BD144,"DevOpsFundation")+0.5*COUNTIF(H144:BD144,"◐ Partiel"))/(COUNTIF(H144:BD144,"☑ Implémenté")+COUNTIF(H144:BD144,"☑ Oui")+COUNTIF(H144:BD144,"DevOpsFundation")+COUNTIF(H144:BD144,"◐ Partiel")+COUNTIF(H144:BD144,"☐ Non implémenté")+COUNTIF(H144:BD144,"☐ Non")),"")</x:f>
      </x:c>
      <x:c r="BF144" s="82" t="str">
        <x:f>IF(B144="","",COUNTIF(H144:BD144,"☐ Non implémenté")+COUNTIF(H144:BD144,"☐ Non")+COUNTIF(H144:BD144,"◐ Partiel"))</x:f>
      </x:c>
      <x:c r="BG144" s="82"/>
    </x:row>
    <x:row r="145">
      <x:c r="A145" s="82"/>
      <x:c r="B145" s="82"/>
      <x:c r="C145" s="82"/>
      <x:c r="D145" s="82"/>
      <x:c r="E145" s="82"/>
      <x:c r="F145" s="82"/>
      <x:c r="G145" s="82"/>
      <x:c r="H145" s="82"/>
      <x:c r="I145" s="82"/>
      <x:c r="J145" s="82"/>
      <x:c r="K145" s="82"/>
      <x:c r="L145" s="82"/>
      <x:c r="M145" s="82"/>
      <x:c r="N145" s="82"/>
      <x:c r="O145" s="82"/>
      <x:c r="P145" s="82"/>
      <x:c r="Q145" s="84" t="str">
        <x:f>IFERROR((COUNTIF(H145:P145,"☑ Implémenté")+COUNTIF(H145:P145,"☑ Oui")+0.5*COUNTIF(H145:P145,"◐ Partiel"))/(COUNTIF(H145:P145,"☑ Implémenté")+COUNTIF(H145:P145,"☑ Oui")+COUNTIF(H145:P145,"◐ Partiel")+COUNTIF(H145:P145,"☐ Non implémenté")+COUNTIF(H145:P145,"☐ Non")),"")</x:f>
      </x:c>
      <x:c r="R145" s="82"/>
      <x:c r="S145" s="82"/>
      <x:c r="T145" s="82"/>
      <x:c r="U145" s="82"/>
      <x:c r="V145" s="84" t="str">
        <x:f>IFERROR((COUNTIF(R145:U145,"☑ Implémenté")+COUNTIF(R145:U145,"☑ Oui")+0.5*COUNTIF(R145:U145,"◐ Partiel"))/(COUNTIF(R145:U145,"☑ Implémenté")+COUNTIF(R145:U145,"☑ Oui")+COUNTIF(R145:U145,"◐ Partiel")+COUNTIF(R145:U145,"☐ Non implémenté")+COUNTIF(R145:U145,"☐ Non")),"")</x:f>
      </x:c>
      <x:c r="W145" s="82"/>
      <x:c r="X145" s="82"/>
      <x:c r="Y145" s="84" t="str">
        <x:f>IFERROR((COUNTIF(W145:X145,"☑ Implémenté")+COUNTIF(W145:X145,"☑ Oui")+0.5*COUNTIF(W145:X145,"◐ Partiel"))/(COUNTIF(W145:X145,"☑ Implémenté")+COUNTIF(W145:X145,"☑ Oui")+COUNTIF(W145:X145,"◐ Partiel")+COUNTIF(W145:X145,"☐ Non implémenté")+COUNTIF(W145:X145,"☐ Non")),"")</x:f>
      </x:c>
      <x:c r="Z145" s="82"/>
      <x:c r="AA145" s="82"/>
      <x:c r="AB145" s="82"/>
      <x:c r="AC145" s="82"/>
      <x:c r="AD145" s="82"/>
      <x:c r="AE145" s="82"/>
      <x:c r="AF145" s="82"/>
      <x:c r="AG145" s="84"/>
      <x:c r="AH145" s="82"/>
      <x:c r="AI145" s="82"/>
      <x:c r="AJ145" s="82"/>
      <x:c r="AK145" s="82"/>
      <x:c r="AL145" s="82"/>
      <x:c r="AM145" s="82"/>
      <x:c r="AN145" s="82"/>
      <x:c r="AO145" s="82"/>
      <x:c r="AP145" s="82"/>
      <x:c r="AQ145" s="82"/>
      <x:c r="AR145" s="82"/>
      <x:c r="AS145" s="82"/>
      <x:c r="AT145" s="82"/>
      <x:c r="AU145" s="82"/>
      <x:c r="AV145" s="82"/>
      <x:c r="AW145" s="82"/>
      <x:c r="AX145" s="82"/>
      <x:c r="AY145" s="82"/>
      <x:c r="AZ145" s="82"/>
      <x:c r="BA145" s="82"/>
      <x:c r="BB145" s="82"/>
      <x:c r="BC145" s="82"/>
      <x:c r="BD145" s="84" t="str">
        <x:f>IFERROR((COUNTIF(AZ145:BC145,"☑ Implémenté")+COUNTIF(AZ145:BC145,"☑ Oui")+0.5*COUNTIF(AZ145:BC145,"◐ Partiel"))/(COUNTIF(AZ145:BC145,"☑ Implémenté")+COUNTIF(AZ145:BC145,"☑ Oui")+COUNTIF(AZ145:BC145,"◐ Partiel")+COUNTIF(AZ145:BC145,"☐ Non implémenté")+COUNTIF(AZ145:BC145,"☐ Non")),"")</x:f>
      </x:c>
      <x:c r="BE145" s="84" t="str">
        <x:f>IFERROR((COUNTIF(H145:BD145,"☑ Implémenté")+COUNTIF(H145:BD145,"☑ Oui")+COUNTIF(H145:BD145,"DevOpsFundation")+0.5*COUNTIF(H145:BD145,"◐ Partiel"))/(COUNTIF(H145:BD145,"☑ Implémenté")+COUNTIF(H145:BD145,"☑ Oui")+COUNTIF(H145:BD145,"DevOpsFundation")+COUNTIF(H145:BD145,"◐ Partiel")+COUNTIF(H145:BD145,"☐ Non implémenté")+COUNTIF(H145:BD145,"☐ Non")),"")</x:f>
      </x:c>
      <x:c r="BF145" s="82" t="str">
        <x:f>IF(B145="","",COUNTIF(H145:BD145,"☐ Non implémenté")+COUNTIF(H145:BD145,"☐ Non")+COUNTIF(H145:BD145,"◐ Partiel"))</x:f>
      </x:c>
      <x:c r="BG145" s="82"/>
    </x:row>
    <x:row r="146">
      <x:c r="A146" s="82"/>
      <x:c r="B146" s="82"/>
      <x:c r="C146" s="82"/>
      <x:c r="D146" s="82"/>
      <x:c r="E146" s="82"/>
      <x:c r="F146" s="82"/>
      <x:c r="G146" s="82"/>
      <x:c r="H146" s="82"/>
      <x:c r="I146" s="82"/>
      <x:c r="J146" s="82"/>
      <x:c r="K146" s="82"/>
      <x:c r="L146" s="82"/>
      <x:c r="M146" s="82"/>
      <x:c r="N146" s="82"/>
      <x:c r="O146" s="82"/>
      <x:c r="P146" s="82"/>
      <x:c r="Q146" s="84" t="str">
        <x:f>IFERROR((COUNTIF(H146:P146,"☑ Implémenté")+COUNTIF(H146:P146,"☑ Oui")+0.5*COUNTIF(H146:P146,"◐ Partiel"))/(COUNTIF(H146:P146,"☑ Implémenté")+COUNTIF(H146:P146,"☑ Oui")+COUNTIF(H146:P146,"◐ Partiel")+COUNTIF(H146:P146,"☐ Non implémenté")+COUNTIF(H146:P146,"☐ Non")),"")</x:f>
      </x:c>
      <x:c r="R146" s="82"/>
      <x:c r="S146" s="82"/>
      <x:c r="T146" s="82"/>
      <x:c r="U146" s="82"/>
      <x:c r="V146" s="84" t="str">
        <x:f>IFERROR((COUNTIF(R146:U146,"☑ Implémenté")+COUNTIF(R146:U146,"☑ Oui")+0.5*COUNTIF(R146:U146,"◐ Partiel"))/(COUNTIF(R146:U146,"☑ Implémenté")+COUNTIF(R146:U146,"☑ Oui")+COUNTIF(R146:U146,"◐ Partiel")+COUNTIF(R146:U146,"☐ Non implémenté")+COUNTIF(R146:U146,"☐ Non")),"")</x:f>
      </x:c>
      <x:c r="W146" s="82"/>
      <x:c r="X146" s="82"/>
      <x:c r="Y146" s="84" t="str">
        <x:f>IFERROR((COUNTIF(W146:X146,"☑ Implémenté")+COUNTIF(W146:X146,"☑ Oui")+0.5*COUNTIF(W146:X146,"◐ Partiel"))/(COUNTIF(W146:X146,"☑ Implémenté")+COUNTIF(W146:X146,"☑ Oui")+COUNTIF(W146:X146,"◐ Partiel")+COUNTIF(W146:X146,"☐ Non implémenté")+COUNTIF(W146:X146,"☐ Non")),"")</x:f>
      </x:c>
      <x:c r="Z146" s="82"/>
      <x:c r="AA146" s="82"/>
      <x:c r="AB146" s="82"/>
      <x:c r="AC146" s="82"/>
      <x:c r="AD146" s="82"/>
      <x:c r="AE146" s="82"/>
      <x:c r="AF146" s="82"/>
      <x:c r="AG146" s="84"/>
      <x:c r="AH146" s="82"/>
      <x:c r="AI146" s="82"/>
      <x:c r="AJ146" s="82"/>
      <x:c r="AK146" s="82"/>
      <x:c r="AL146" s="82"/>
      <x:c r="AM146" s="82"/>
      <x:c r="AN146" s="82"/>
      <x:c r="AO146" s="82"/>
      <x:c r="AP146" s="82"/>
      <x:c r="AQ146" s="82"/>
      <x:c r="AR146" s="82"/>
      <x:c r="AS146" s="82"/>
      <x:c r="AT146" s="82"/>
      <x:c r="AU146" s="82"/>
      <x:c r="AV146" s="82"/>
      <x:c r="AW146" s="82"/>
      <x:c r="AX146" s="82"/>
      <x:c r="AY146" s="82"/>
      <x:c r="AZ146" s="82"/>
      <x:c r="BA146" s="82"/>
      <x:c r="BB146" s="82"/>
      <x:c r="BC146" s="82"/>
      <x:c r="BD146" s="84" t="str">
        <x:f>IFERROR((COUNTIF(AZ146:BC146,"☑ Implémenté")+COUNTIF(AZ146:BC146,"☑ Oui")+0.5*COUNTIF(AZ146:BC146,"◐ Partiel"))/(COUNTIF(AZ146:BC146,"☑ Implémenté")+COUNTIF(AZ146:BC146,"☑ Oui")+COUNTIF(AZ146:BC146,"◐ Partiel")+COUNTIF(AZ146:BC146,"☐ Non implémenté")+COUNTIF(AZ146:BC146,"☐ Non")),"")</x:f>
      </x:c>
      <x:c r="BE146" s="84" t="str">
        <x:f>IFERROR((COUNTIF(H146:BD146,"☑ Implémenté")+COUNTIF(H146:BD146,"☑ Oui")+COUNTIF(H146:BD146,"DevOpsFundation")+0.5*COUNTIF(H146:BD146,"◐ Partiel"))/(COUNTIF(H146:BD146,"☑ Implémenté")+COUNTIF(H146:BD146,"☑ Oui")+COUNTIF(H146:BD146,"DevOpsFundation")+COUNTIF(H146:BD146,"◐ Partiel")+COUNTIF(H146:BD146,"☐ Non implémenté")+COUNTIF(H146:BD146,"☐ Non")),"")</x:f>
      </x:c>
      <x:c r="BF146" s="82" t="str">
        <x:f>IF(B146="","",COUNTIF(H146:BD146,"☐ Non implémenté")+COUNTIF(H146:BD146,"☐ Non")+COUNTIF(H146:BD146,"◐ Partiel"))</x:f>
      </x:c>
      <x:c r="BG146" s="82"/>
    </x:row>
    <x:row r="147">
      <x:c r="A147" s="82"/>
      <x:c r="B147" s="82"/>
      <x:c r="C147" s="82"/>
      <x:c r="D147" s="82"/>
      <x:c r="E147" s="82"/>
      <x:c r="F147" s="82"/>
      <x:c r="G147" s="82"/>
      <x:c r="H147" s="82"/>
      <x:c r="I147" s="82"/>
      <x:c r="J147" s="82"/>
      <x:c r="K147" s="82"/>
      <x:c r="L147" s="82"/>
      <x:c r="M147" s="82"/>
      <x:c r="N147" s="82"/>
      <x:c r="O147" s="82"/>
      <x:c r="P147" s="82"/>
      <x:c r="Q147" s="84" t="str">
        <x:f>IFERROR((COUNTIF(H147:P147,"☑ Implémenté")+COUNTIF(H147:P147,"☑ Oui")+0.5*COUNTIF(H147:P147,"◐ Partiel"))/(COUNTIF(H147:P147,"☑ Implémenté")+COUNTIF(H147:P147,"☑ Oui")+COUNTIF(H147:P147,"◐ Partiel")+COUNTIF(H147:P147,"☐ Non implémenté")+COUNTIF(H147:P147,"☐ Non")),"")</x:f>
      </x:c>
      <x:c r="R147" s="82"/>
      <x:c r="S147" s="82"/>
      <x:c r="T147" s="82"/>
      <x:c r="U147" s="82"/>
      <x:c r="V147" s="84" t="str">
        <x:f>IFERROR((COUNTIF(R147:U147,"☑ Implémenté")+COUNTIF(R147:U147,"☑ Oui")+0.5*COUNTIF(R147:U147,"◐ Partiel"))/(COUNTIF(R147:U147,"☑ Implémenté")+COUNTIF(R147:U147,"☑ Oui")+COUNTIF(R147:U147,"◐ Partiel")+COUNTIF(R147:U147,"☐ Non implémenté")+COUNTIF(R147:U147,"☐ Non")),"")</x:f>
      </x:c>
      <x:c r="W147" s="82"/>
      <x:c r="X147" s="82"/>
      <x:c r="Y147" s="84" t="str">
        <x:f>IFERROR((COUNTIF(W147:X147,"☑ Implémenté")+COUNTIF(W147:X147,"☑ Oui")+0.5*COUNTIF(W147:X147,"◐ Partiel"))/(COUNTIF(W147:X147,"☑ Implémenté")+COUNTIF(W147:X147,"☑ Oui")+COUNTIF(W147:X147,"◐ Partiel")+COUNTIF(W147:X147,"☐ Non implémenté")+COUNTIF(W147:X147,"☐ Non")),"")</x:f>
      </x:c>
      <x:c r="Z147" s="82"/>
      <x:c r="AA147" s="82"/>
      <x:c r="AB147" s="82"/>
      <x:c r="AC147" s="82"/>
      <x:c r="AD147" s="82"/>
      <x:c r="AE147" s="82"/>
      <x:c r="AF147" s="82"/>
      <x:c r="AG147" s="84"/>
      <x:c r="AH147" s="82"/>
      <x:c r="AI147" s="82"/>
      <x:c r="AJ147" s="82"/>
      <x:c r="AK147" s="82"/>
      <x:c r="AL147" s="82"/>
      <x:c r="AM147" s="82"/>
      <x:c r="AN147" s="82"/>
      <x:c r="AO147" s="82"/>
      <x:c r="AP147" s="82"/>
      <x:c r="AQ147" s="82"/>
      <x:c r="AR147" s="82"/>
      <x:c r="AS147" s="82"/>
      <x:c r="AT147" s="82"/>
      <x:c r="AU147" s="82"/>
      <x:c r="AV147" s="82"/>
      <x:c r="AW147" s="82"/>
      <x:c r="AX147" s="82"/>
      <x:c r="AY147" s="82"/>
      <x:c r="AZ147" s="82"/>
      <x:c r="BA147" s="82"/>
      <x:c r="BB147" s="82"/>
      <x:c r="BC147" s="82"/>
      <x:c r="BD147" s="84" t="str">
        <x:f>IFERROR((COUNTIF(AZ147:BC147,"☑ Implémenté")+COUNTIF(AZ147:BC147,"☑ Oui")+0.5*COUNTIF(AZ147:BC147,"◐ Partiel"))/(COUNTIF(AZ147:BC147,"☑ Implémenté")+COUNTIF(AZ147:BC147,"☑ Oui")+COUNTIF(AZ147:BC147,"◐ Partiel")+COUNTIF(AZ147:BC147,"☐ Non implémenté")+COUNTIF(AZ147:BC147,"☐ Non")),"")</x:f>
      </x:c>
      <x:c r="BE147" s="84" t="str">
        <x:f>IFERROR((COUNTIF(H147:BD147,"☑ Implémenté")+COUNTIF(H147:BD147,"☑ Oui")+COUNTIF(H147:BD147,"DevOpsFundation")+0.5*COUNTIF(H147:BD147,"◐ Partiel"))/(COUNTIF(H147:BD147,"☑ Implémenté")+COUNTIF(H147:BD147,"☑ Oui")+COUNTIF(H147:BD147,"DevOpsFundation")+COUNTIF(H147:BD147,"◐ Partiel")+COUNTIF(H147:BD147,"☐ Non implémenté")+COUNTIF(H147:BD147,"☐ Non")),"")</x:f>
      </x:c>
      <x:c r="BF147" s="82" t="str">
        <x:f>IF(B147="","",COUNTIF(H147:BD147,"☐ Non implémenté")+COUNTIF(H147:BD147,"☐ Non")+COUNTIF(H147:BD147,"◐ Partiel"))</x:f>
      </x:c>
      <x:c r="BG147" s="82"/>
    </x:row>
    <x:row r="148">
      <x:c r="A148" s="82"/>
      <x:c r="B148" s="82"/>
      <x:c r="C148" s="82"/>
      <x:c r="D148" s="82"/>
      <x:c r="E148" s="82"/>
      <x:c r="F148" s="82"/>
      <x:c r="G148" s="82"/>
      <x:c r="H148" s="82"/>
      <x:c r="I148" s="82"/>
      <x:c r="J148" s="82"/>
      <x:c r="K148" s="82"/>
      <x:c r="L148" s="82"/>
      <x:c r="M148" s="82"/>
      <x:c r="N148" s="82"/>
      <x:c r="O148" s="82"/>
      <x:c r="P148" s="82"/>
      <x:c r="Q148" s="84" t="str">
        <x:f>IFERROR((COUNTIF(H148:P148,"☑ Implémenté")+COUNTIF(H148:P148,"☑ Oui")+0.5*COUNTIF(H148:P148,"◐ Partiel"))/(COUNTIF(H148:P148,"☑ Implémenté")+COUNTIF(H148:P148,"☑ Oui")+COUNTIF(H148:P148,"◐ Partiel")+COUNTIF(H148:P148,"☐ Non implémenté")+COUNTIF(H148:P148,"☐ Non")),"")</x:f>
      </x:c>
      <x:c r="R148" s="82"/>
      <x:c r="S148" s="82"/>
      <x:c r="T148" s="82"/>
      <x:c r="U148" s="82"/>
      <x:c r="V148" s="84" t="str">
        <x:f>IFERROR((COUNTIF(R148:U148,"☑ Implémenté")+COUNTIF(R148:U148,"☑ Oui")+0.5*COUNTIF(R148:U148,"◐ Partiel"))/(COUNTIF(R148:U148,"☑ Implémenté")+COUNTIF(R148:U148,"☑ Oui")+COUNTIF(R148:U148,"◐ Partiel")+COUNTIF(R148:U148,"☐ Non implémenté")+COUNTIF(R148:U148,"☐ Non")),"")</x:f>
      </x:c>
      <x:c r="W148" s="82"/>
      <x:c r="X148" s="82"/>
      <x:c r="Y148" s="84" t="str">
        <x:f>IFERROR((COUNTIF(W148:X148,"☑ Implémenté")+COUNTIF(W148:X148,"☑ Oui")+0.5*COUNTIF(W148:X148,"◐ Partiel"))/(COUNTIF(W148:X148,"☑ Implémenté")+COUNTIF(W148:X148,"☑ Oui")+COUNTIF(W148:X148,"◐ Partiel")+COUNTIF(W148:X148,"☐ Non implémenté")+COUNTIF(W148:X148,"☐ Non")),"")</x:f>
      </x:c>
      <x:c r="Z148" s="82"/>
      <x:c r="AA148" s="82"/>
      <x:c r="AB148" s="82"/>
      <x:c r="AC148" s="82"/>
      <x:c r="AD148" s="82"/>
      <x:c r="AE148" s="82"/>
      <x:c r="AF148" s="82"/>
      <x:c r="AG148" s="84"/>
      <x:c r="AH148" s="82"/>
      <x:c r="AI148" s="82"/>
      <x:c r="AJ148" s="82"/>
      <x:c r="AK148" s="82"/>
      <x:c r="AL148" s="82"/>
      <x:c r="AM148" s="82"/>
      <x:c r="AN148" s="82"/>
      <x:c r="AO148" s="82"/>
      <x:c r="AP148" s="82"/>
      <x:c r="AQ148" s="82"/>
      <x:c r="AR148" s="82"/>
      <x:c r="AS148" s="82"/>
      <x:c r="AT148" s="82"/>
      <x:c r="AU148" s="82"/>
      <x:c r="AV148" s="82"/>
      <x:c r="AW148" s="82"/>
      <x:c r="AX148" s="82"/>
      <x:c r="AY148" s="82"/>
      <x:c r="AZ148" s="82"/>
      <x:c r="BA148" s="82"/>
      <x:c r="BB148" s="82"/>
      <x:c r="BC148" s="82"/>
      <x:c r="BD148" s="84" t="str">
        <x:f>IFERROR((COUNTIF(AZ148:BC148,"☑ Implémenté")+COUNTIF(AZ148:BC148,"☑ Oui")+0.5*COUNTIF(AZ148:BC148,"◐ Partiel"))/(COUNTIF(AZ148:BC148,"☑ Implémenté")+COUNTIF(AZ148:BC148,"☑ Oui")+COUNTIF(AZ148:BC148,"◐ Partiel")+COUNTIF(AZ148:BC148,"☐ Non implémenté")+COUNTIF(AZ148:BC148,"☐ Non")),"")</x:f>
      </x:c>
      <x:c r="BE148" s="84" t="str">
        <x:f>IFERROR((COUNTIF(H148:BD148,"☑ Implémenté")+COUNTIF(H148:BD148,"☑ Oui")+COUNTIF(H148:BD148,"DevOpsFundation")+0.5*COUNTIF(H148:BD148,"◐ Partiel"))/(COUNTIF(H148:BD148,"☑ Implémenté")+COUNTIF(H148:BD148,"☑ Oui")+COUNTIF(H148:BD148,"DevOpsFundation")+COUNTIF(H148:BD148,"◐ Partiel")+COUNTIF(H148:BD148,"☐ Non implémenté")+COUNTIF(H148:BD148,"☐ Non")),"")</x:f>
      </x:c>
      <x:c r="BF148" s="82" t="str">
        <x:f>IF(B148="","",COUNTIF(H148:BD148,"☐ Non implémenté")+COUNTIF(H148:BD148,"☐ Non")+COUNTIF(H148:BD148,"◐ Partiel"))</x:f>
      </x:c>
      <x:c r="BG148" s="82"/>
    </x:row>
    <x:row r="149">
      <x:c r="A149" s="82"/>
      <x:c r="B149" s="82"/>
      <x:c r="C149" s="82"/>
      <x:c r="D149" s="82"/>
      <x:c r="E149" s="82"/>
      <x:c r="F149" s="82"/>
      <x:c r="G149" s="82"/>
      <x:c r="H149" s="82"/>
      <x:c r="I149" s="82"/>
      <x:c r="J149" s="82"/>
      <x:c r="K149" s="82"/>
      <x:c r="L149" s="82"/>
      <x:c r="M149" s="82"/>
      <x:c r="N149" s="82"/>
      <x:c r="O149" s="82"/>
      <x:c r="P149" s="82"/>
      <x:c r="Q149" s="84" t="str">
        <x:f>IFERROR((COUNTIF(H149:P149,"☑ Implémenté")+COUNTIF(H149:P149,"☑ Oui")+0.5*COUNTIF(H149:P149,"◐ Partiel"))/(COUNTIF(H149:P149,"☑ Implémenté")+COUNTIF(H149:P149,"☑ Oui")+COUNTIF(H149:P149,"◐ Partiel")+COUNTIF(H149:P149,"☐ Non implémenté")+COUNTIF(H149:P149,"☐ Non")),"")</x:f>
      </x:c>
      <x:c r="R149" s="82"/>
      <x:c r="S149" s="82"/>
      <x:c r="T149" s="82"/>
      <x:c r="U149" s="82"/>
      <x:c r="V149" s="84" t="str">
        <x:f>IFERROR((COUNTIF(R149:U149,"☑ Implémenté")+COUNTIF(R149:U149,"☑ Oui")+0.5*COUNTIF(R149:U149,"◐ Partiel"))/(COUNTIF(R149:U149,"☑ Implémenté")+COUNTIF(R149:U149,"☑ Oui")+COUNTIF(R149:U149,"◐ Partiel")+COUNTIF(R149:U149,"☐ Non implémenté")+COUNTIF(R149:U149,"☐ Non")),"")</x:f>
      </x:c>
      <x:c r="W149" s="82"/>
      <x:c r="X149" s="82"/>
      <x:c r="Y149" s="84" t="str">
        <x:f>IFERROR((COUNTIF(W149:X149,"☑ Implémenté")+COUNTIF(W149:X149,"☑ Oui")+0.5*COUNTIF(W149:X149,"◐ Partiel"))/(COUNTIF(W149:X149,"☑ Implémenté")+COUNTIF(W149:X149,"☑ Oui")+COUNTIF(W149:X149,"◐ Partiel")+COUNTIF(W149:X149,"☐ Non implémenté")+COUNTIF(W149:X149,"☐ Non")),"")</x:f>
      </x:c>
      <x:c r="Z149" s="82"/>
      <x:c r="AA149" s="82"/>
      <x:c r="AB149" s="82"/>
      <x:c r="AC149" s="82"/>
      <x:c r="AD149" s="82"/>
      <x:c r="AE149" s="82"/>
      <x:c r="AF149" s="82"/>
      <x:c r="AG149" s="84"/>
      <x:c r="AH149" s="82"/>
      <x:c r="AI149" s="82"/>
      <x:c r="AJ149" s="82"/>
      <x:c r="AK149" s="82"/>
      <x:c r="AL149" s="82"/>
      <x:c r="AM149" s="82"/>
      <x:c r="AN149" s="82"/>
      <x:c r="AO149" s="82"/>
      <x:c r="AP149" s="82"/>
      <x:c r="AQ149" s="82"/>
      <x:c r="AR149" s="82"/>
      <x:c r="AS149" s="82"/>
      <x:c r="AT149" s="82"/>
      <x:c r="AU149" s="82"/>
      <x:c r="AV149" s="82"/>
      <x:c r="AW149" s="82"/>
      <x:c r="AX149" s="82"/>
      <x:c r="AY149" s="82"/>
      <x:c r="AZ149" s="82"/>
      <x:c r="BA149" s="82"/>
      <x:c r="BB149" s="82"/>
      <x:c r="BC149" s="82"/>
      <x:c r="BD149" s="84" t="str">
        <x:f>IFERROR((COUNTIF(AZ149:BC149,"☑ Implémenté")+COUNTIF(AZ149:BC149,"☑ Oui")+0.5*COUNTIF(AZ149:BC149,"◐ Partiel"))/(COUNTIF(AZ149:BC149,"☑ Implémenté")+COUNTIF(AZ149:BC149,"☑ Oui")+COUNTIF(AZ149:BC149,"◐ Partiel")+COUNTIF(AZ149:BC149,"☐ Non implémenté")+COUNTIF(AZ149:BC149,"☐ Non")),"")</x:f>
      </x:c>
      <x:c r="BE149" s="84" t="str">
        <x:f>IFERROR((COUNTIF(H149:BD149,"☑ Implémenté")+COUNTIF(H149:BD149,"☑ Oui")+COUNTIF(H149:BD149,"DevOpsFundation")+0.5*COUNTIF(H149:BD149,"◐ Partiel"))/(COUNTIF(H149:BD149,"☑ Implémenté")+COUNTIF(H149:BD149,"☑ Oui")+COUNTIF(H149:BD149,"DevOpsFundation")+COUNTIF(H149:BD149,"◐ Partiel")+COUNTIF(H149:BD149,"☐ Non implémenté")+COUNTIF(H149:BD149,"☐ Non")),"")</x:f>
      </x:c>
      <x:c r="BF149" s="82" t="str">
        <x:f>IF(B149="","",COUNTIF(H149:BD149,"☐ Non implémenté")+COUNTIF(H149:BD149,"☐ Non")+COUNTIF(H149:BD149,"◐ Partiel"))</x:f>
      </x:c>
      <x:c r="BG149" s="82"/>
    </x:row>
    <x:row r="150">
      <x:c r="A150" s="82"/>
      <x:c r="B150" s="82"/>
      <x:c r="C150" s="82"/>
      <x:c r="D150" s="82"/>
      <x:c r="E150" s="82"/>
      <x:c r="F150" s="82"/>
      <x:c r="G150" s="82"/>
      <x:c r="H150" s="82"/>
      <x:c r="I150" s="82"/>
      <x:c r="J150" s="82"/>
      <x:c r="K150" s="82"/>
      <x:c r="L150" s="82"/>
      <x:c r="M150" s="82"/>
      <x:c r="N150" s="82"/>
      <x:c r="O150" s="82"/>
      <x:c r="P150" s="82"/>
      <x:c r="Q150" s="84" t="str">
        <x:f>IFERROR((COUNTIF(H150:P150,"☑ Implémenté")+COUNTIF(H150:P150,"☑ Oui")+0.5*COUNTIF(H150:P150,"◐ Partiel"))/(COUNTIF(H150:P150,"☑ Implémenté")+COUNTIF(H150:P150,"☑ Oui")+COUNTIF(H150:P150,"◐ Partiel")+COUNTIF(H150:P150,"☐ Non implémenté")+COUNTIF(H150:P150,"☐ Non")),"")</x:f>
      </x:c>
      <x:c r="R150" s="82"/>
      <x:c r="S150" s="82"/>
      <x:c r="T150" s="82"/>
      <x:c r="U150" s="82"/>
      <x:c r="V150" s="84" t="str">
        <x:f>IFERROR((COUNTIF(R150:U150,"☑ Implémenté")+COUNTIF(R150:U150,"☑ Oui")+0.5*COUNTIF(R150:U150,"◐ Partiel"))/(COUNTIF(R150:U150,"☑ Implémenté")+COUNTIF(R150:U150,"☑ Oui")+COUNTIF(R150:U150,"◐ Partiel")+COUNTIF(R150:U150,"☐ Non implémenté")+COUNTIF(R150:U150,"☐ Non")),"")</x:f>
      </x:c>
      <x:c r="W150" s="82"/>
      <x:c r="X150" s="82"/>
      <x:c r="Y150" s="84" t="str">
        <x:f>IFERROR((COUNTIF(W150:X150,"☑ Implémenté")+COUNTIF(W150:X150,"☑ Oui")+0.5*COUNTIF(W150:X150,"◐ Partiel"))/(COUNTIF(W150:X150,"☑ Implémenté")+COUNTIF(W150:X150,"☑ Oui")+COUNTIF(W150:X150,"◐ Partiel")+COUNTIF(W150:X150,"☐ Non implémenté")+COUNTIF(W150:X150,"☐ Non")),"")</x:f>
      </x:c>
      <x:c r="Z150" s="82"/>
      <x:c r="AA150" s="82"/>
      <x:c r="AB150" s="82"/>
      <x:c r="AC150" s="82"/>
      <x:c r="AD150" s="82"/>
      <x:c r="AE150" s="82"/>
      <x:c r="AF150" s="82"/>
      <x:c r="AG150" s="84"/>
      <x:c r="AH150" s="82"/>
      <x:c r="AI150" s="82"/>
      <x:c r="AJ150" s="82"/>
      <x:c r="AK150" s="82"/>
      <x:c r="AL150" s="82"/>
      <x:c r="AM150" s="82"/>
      <x:c r="AN150" s="82"/>
      <x:c r="AO150" s="82"/>
      <x:c r="AP150" s="82"/>
      <x:c r="AQ150" s="82"/>
      <x:c r="AR150" s="82"/>
      <x:c r="AS150" s="82"/>
      <x:c r="AT150" s="82"/>
      <x:c r="AU150" s="82"/>
      <x:c r="AV150" s="82"/>
      <x:c r="AW150" s="82"/>
      <x:c r="AX150" s="82"/>
      <x:c r="AY150" s="82"/>
      <x:c r="AZ150" s="82"/>
      <x:c r="BA150" s="82"/>
      <x:c r="BB150" s="82"/>
      <x:c r="BC150" s="82"/>
      <x:c r="BD150" s="84" t="str">
        <x:f>IFERROR((COUNTIF(AZ150:BC150,"☑ Implémenté")+COUNTIF(AZ150:BC150,"☑ Oui")+0.5*COUNTIF(AZ150:BC150,"◐ Partiel"))/(COUNTIF(AZ150:BC150,"☑ Implémenté")+COUNTIF(AZ150:BC150,"☑ Oui")+COUNTIF(AZ150:BC150,"◐ Partiel")+COUNTIF(AZ150:BC150,"☐ Non implémenté")+COUNTIF(AZ150:BC150,"☐ Non")),"")</x:f>
      </x:c>
      <x:c r="BE150" s="84" t="str">
        <x:f>IFERROR((COUNTIF(H150:BD150,"☑ Implémenté")+COUNTIF(H150:BD150,"☑ Oui")+COUNTIF(H150:BD150,"DevOpsFundation")+0.5*COUNTIF(H150:BD150,"◐ Partiel"))/(COUNTIF(H150:BD150,"☑ Implémenté")+COUNTIF(H150:BD150,"☑ Oui")+COUNTIF(H150:BD150,"DevOpsFundation")+COUNTIF(H150:BD150,"◐ Partiel")+COUNTIF(H150:BD150,"☐ Non implémenté")+COUNTIF(H150:BD150,"☐ Non")),"")</x:f>
      </x:c>
      <x:c r="BF150" s="82" t="str">
        <x:f>IF(B150="","",COUNTIF(H150:BD150,"☐ Non implémenté")+COUNTIF(H150:BD150,"☐ Non")+COUNTIF(H150:BD150,"◐ Partiel"))</x:f>
      </x:c>
      <x:c r="BG150" s="82"/>
    </x:row>
    <x:row r="151">
      <x:c r="A151" s="82"/>
      <x:c r="B151" s="82"/>
      <x:c r="C151" s="82"/>
      <x:c r="D151" s="82"/>
      <x:c r="E151" s="82"/>
      <x:c r="F151" s="82"/>
      <x:c r="G151" s="82"/>
      <x:c r="H151" s="82"/>
      <x:c r="I151" s="82"/>
      <x:c r="J151" s="82"/>
      <x:c r="K151" s="82"/>
      <x:c r="L151" s="82"/>
      <x:c r="M151" s="82"/>
      <x:c r="N151" s="82"/>
      <x:c r="O151" s="82"/>
      <x:c r="P151" s="82"/>
      <x:c r="Q151" s="84" t="str">
        <x:f>IFERROR((COUNTIF(H151:P151,"☑ Implémenté")+COUNTIF(H151:P151,"☑ Oui")+0.5*COUNTIF(H151:P151,"◐ Partiel"))/(COUNTIF(H151:P151,"☑ Implémenté")+COUNTIF(H151:P151,"☑ Oui")+COUNTIF(H151:P151,"◐ Partiel")+COUNTIF(H151:P151,"☐ Non implémenté")+COUNTIF(H151:P151,"☐ Non")),"")</x:f>
      </x:c>
      <x:c r="R151" s="82"/>
      <x:c r="S151" s="82"/>
      <x:c r="T151" s="82"/>
      <x:c r="U151" s="82"/>
      <x:c r="V151" s="84" t="str">
        <x:f>IFERROR((COUNTIF(R151:U151,"☑ Implémenté")+COUNTIF(R151:U151,"☑ Oui")+0.5*COUNTIF(R151:U151,"◐ Partiel"))/(COUNTIF(R151:U151,"☑ Implémenté")+COUNTIF(R151:U151,"☑ Oui")+COUNTIF(R151:U151,"◐ Partiel")+COUNTIF(R151:U151,"☐ Non implémenté")+COUNTIF(R151:U151,"☐ Non")),"")</x:f>
      </x:c>
      <x:c r="W151" s="82"/>
      <x:c r="X151" s="82"/>
      <x:c r="Y151" s="84" t="str">
        <x:f>IFERROR((COUNTIF(W151:X151,"☑ Implémenté")+COUNTIF(W151:X151,"☑ Oui")+0.5*COUNTIF(W151:X151,"◐ Partiel"))/(COUNTIF(W151:X151,"☑ Implémenté")+COUNTIF(W151:X151,"☑ Oui")+COUNTIF(W151:X151,"◐ Partiel")+COUNTIF(W151:X151,"☐ Non implémenté")+COUNTIF(W151:X151,"☐ Non")),"")</x:f>
      </x:c>
      <x:c r="Z151" s="82"/>
      <x:c r="AA151" s="82"/>
      <x:c r="AB151" s="82"/>
      <x:c r="AC151" s="82"/>
      <x:c r="AD151" s="82"/>
      <x:c r="AE151" s="82"/>
      <x:c r="AF151" s="82"/>
      <x:c r="AG151" s="84"/>
      <x:c r="AH151" s="82"/>
      <x:c r="AI151" s="82"/>
      <x:c r="AJ151" s="82"/>
      <x:c r="AK151" s="82"/>
      <x:c r="AL151" s="82"/>
      <x:c r="AM151" s="82"/>
      <x:c r="AN151" s="82"/>
      <x:c r="AO151" s="82"/>
      <x:c r="AP151" s="82"/>
      <x:c r="AQ151" s="82"/>
      <x:c r="AR151" s="82"/>
      <x:c r="AS151" s="82"/>
      <x:c r="AT151" s="82"/>
      <x:c r="AU151" s="82"/>
      <x:c r="AV151" s="82"/>
      <x:c r="AW151" s="82"/>
      <x:c r="AX151" s="82"/>
      <x:c r="AY151" s="82"/>
      <x:c r="AZ151" s="82"/>
      <x:c r="BA151" s="82"/>
      <x:c r="BB151" s="82"/>
      <x:c r="BC151" s="82"/>
      <x:c r="BD151" s="84" t="str">
        <x:f>IFERROR((COUNTIF(AZ151:BC151,"☑ Implémenté")+COUNTIF(AZ151:BC151,"☑ Oui")+0.5*COUNTIF(AZ151:BC151,"◐ Partiel"))/(COUNTIF(AZ151:BC151,"☑ Implémenté")+COUNTIF(AZ151:BC151,"☑ Oui")+COUNTIF(AZ151:BC151,"◐ Partiel")+COUNTIF(AZ151:BC151,"☐ Non implémenté")+COUNTIF(AZ151:BC151,"☐ Non")),"")</x:f>
      </x:c>
      <x:c r="BE151" s="84" t="str">
        <x:f>IFERROR((COUNTIF(H151:BD151,"☑ Implémenté")+COUNTIF(H151:BD151,"☑ Oui")+COUNTIF(H151:BD151,"DevOpsFundation")+0.5*COUNTIF(H151:BD151,"◐ Partiel"))/(COUNTIF(H151:BD151,"☑ Implémenté")+COUNTIF(H151:BD151,"☑ Oui")+COUNTIF(H151:BD151,"DevOpsFundation")+COUNTIF(H151:BD151,"◐ Partiel")+COUNTIF(H151:BD151,"☐ Non implémenté")+COUNTIF(H151:BD151,"☐ Non")),"")</x:f>
      </x:c>
      <x:c r="BF151" s="82" t="str">
        <x:f>IF(B151="","",COUNTIF(H151:BD151,"☐ Non implémenté")+COUNTIF(H151:BD151,"☐ Non")+COUNTIF(H151:BD151,"◐ Partiel"))</x:f>
      </x:c>
      <x:c r="BG151" s="82"/>
    </x:row>
    <x:row r="152">
      <x:c r="A152" s="82"/>
      <x:c r="B152" s="82"/>
      <x:c r="C152" s="82"/>
      <x:c r="D152" s="82"/>
      <x:c r="E152" s="82"/>
      <x:c r="F152" s="82"/>
      <x:c r="G152" s="82"/>
      <x:c r="H152" s="82"/>
      <x:c r="I152" s="82"/>
      <x:c r="J152" s="82"/>
      <x:c r="K152" s="82"/>
      <x:c r="L152" s="82"/>
      <x:c r="M152" s="82"/>
      <x:c r="N152" s="82"/>
      <x:c r="O152" s="82"/>
      <x:c r="P152" s="82"/>
      <x:c r="Q152" s="84" t="str">
        <x:f>IFERROR((COUNTIF(H152:P152,"☑ Implémenté")+COUNTIF(H152:P152,"☑ Oui")+0.5*COUNTIF(H152:P152,"◐ Partiel"))/(COUNTIF(H152:P152,"☑ Implémenté")+COUNTIF(H152:P152,"☑ Oui")+COUNTIF(H152:P152,"◐ Partiel")+COUNTIF(H152:P152,"☐ Non implémenté")+COUNTIF(H152:P152,"☐ Non")),"")</x:f>
      </x:c>
      <x:c r="R152" s="82"/>
      <x:c r="S152" s="82"/>
      <x:c r="T152" s="82"/>
      <x:c r="U152" s="82"/>
      <x:c r="V152" s="84" t="str">
        <x:f>IFERROR((COUNTIF(R152:U152,"☑ Implémenté")+COUNTIF(R152:U152,"☑ Oui")+0.5*COUNTIF(R152:U152,"◐ Partiel"))/(COUNTIF(R152:U152,"☑ Implémenté")+COUNTIF(R152:U152,"☑ Oui")+COUNTIF(R152:U152,"◐ Partiel")+COUNTIF(R152:U152,"☐ Non implémenté")+COUNTIF(R152:U152,"☐ Non")),"")</x:f>
      </x:c>
      <x:c r="W152" s="82"/>
      <x:c r="X152" s="82"/>
      <x:c r="Y152" s="84" t="str">
        <x:f>IFERROR((COUNTIF(W152:X152,"☑ Implémenté")+COUNTIF(W152:X152,"☑ Oui")+0.5*COUNTIF(W152:X152,"◐ Partiel"))/(COUNTIF(W152:X152,"☑ Implémenté")+COUNTIF(W152:X152,"☑ Oui")+COUNTIF(W152:X152,"◐ Partiel")+COUNTIF(W152:X152,"☐ Non implémenté")+COUNTIF(W152:X152,"☐ Non")),"")</x:f>
      </x:c>
      <x:c r="Z152" s="82"/>
      <x:c r="AA152" s="82"/>
      <x:c r="AB152" s="82"/>
      <x:c r="AC152" s="82"/>
      <x:c r="AD152" s="82"/>
      <x:c r="AE152" s="82"/>
      <x:c r="AF152" s="82"/>
      <x:c r="AG152" s="84"/>
      <x:c r="AH152" s="82"/>
      <x:c r="AI152" s="82"/>
      <x:c r="AJ152" s="82"/>
      <x:c r="AK152" s="82"/>
      <x:c r="AL152" s="82"/>
      <x:c r="AM152" s="82"/>
      <x:c r="AN152" s="82"/>
      <x:c r="AO152" s="82"/>
      <x:c r="AP152" s="82"/>
      <x:c r="AQ152" s="82"/>
      <x:c r="AR152" s="82"/>
      <x:c r="AS152" s="82"/>
      <x:c r="AT152" s="82"/>
      <x:c r="AU152" s="82"/>
      <x:c r="AV152" s="82"/>
      <x:c r="AW152" s="82"/>
      <x:c r="AX152" s="82"/>
      <x:c r="AY152" s="82"/>
      <x:c r="AZ152" s="82"/>
      <x:c r="BA152" s="82"/>
      <x:c r="BB152" s="82"/>
      <x:c r="BC152" s="82"/>
      <x:c r="BD152" s="84" t="str">
        <x:f>IFERROR((COUNTIF(AZ152:BC152,"☑ Implémenté")+COUNTIF(AZ152:BC152,"☑ Oui")+0.5*COUNTIF(AZ152:BC152,"◐ Partiel"))/(COUNTIF(AZ152:BC152,"☑ Implémenté")+COUNTIF(AZ152:BC152,"☑ Oui")+COUNTIF(AZ152:BC152,"◐ Partiel")+COUNTIF(AZ152:BC152,"☐ Non implémenté")+COUNTIF(AZ152:BC152,"☐ Non")),"")</x:f>
      </x:c>
      <x:c r="BE152" s="84" t="str">
        <x:f>IFERROR((COUNTIF(H152:BD152,"☑ Implémenté")+COUNTIF(H152:BD152,"☑ Oui")+COUNTIF(H152:BD152,"DevOpsFundation")+0.5*COUNTIF(H152:BD152,"◐ Partiel"))/(COUNTIF(H152:BD152,"☑ Implémenté")+COUNTIF(H152:BD152,"☑ Oui")+COUNTIF(H152:BD152,"DevOpsFundation")+COUNTIF(H152:BD152,"◐ Partiel")+COUNTIF(H152:BD152,"☐ Non implémenté")+COUNTIF(H152:BD152,"☐ Non")),"")</x:f>
      </x:c>
      <x:c r="BF152" s="82" t="str">
        <x:f>IF(B152="","",COUNTIF(H152:BD152,"☐ Non implémenté")+COUNTIF(H152:BD152,"☐ Non")+COUNTIF(H152:BD152,"◐ Partiel"))</x:f>
      </x:c>
      <x:c r="BG152" s="82"/>
    </x:row>
    <x:row r="153">
      <x:c r="A153" s="82"/>
      <x:c r="B153" s="82"/>
      <x:c r="C153" s="82"/>
      <x:c r="D153" s="82"/>
      <x:c r="E153" s="82"/>
      <x:c r="F153" s="82"/>
      <x:c r="G153" s="82"/>
      <x:c r="H153" s="82"/>
      <x:c r="I153" s="82"/>
      <x:c r="J153" s="82"/>
      <x:c r="K153" s="82"/>
      <x:c r="L153" s="82"/>
      <x:c r="M153" s="82"/>
      <x:c r="N153" s="82"/>
      <x:c r="O153" s="82"/>
      <x:c r="P153" s="82"/>
      <x:c r="Q153" s="84" t="str">
        <x:f>IFERROR((COUNTIF(H153:P153,"☑ Implémenté")+COUNTIF(H153:P153,"☑ Oui")+0.5*COUNTIF(H153:P153,"◐ Partiel"))/(COUNTIF(H153:P153,"☑ Implémenté")+COUNTIF(H153:P153,"☑ Oui")+COUNTIF(H153:P153,"◐ Partiel")+COUNTIF(H153:P153,"☐ Non implémenté")+COUNTIF(H153:P153,"☐ Non")),"")</x:f>
      </x:c>
      <x:c r="R153" s="82"/>
      <x:c r="S153" s="82"/>
      <x:c r="T153" s="82"/>
      <x:c r="U153" s="82"/>
      <x:c r="V153" s="84" t="str">
        <x:f>IFERROR((COUNTIF(R153:U153,"☑ Implémenté")+COUNTIF(R153:U153,"☑ Oui")+0.5*COUNTIF(R153:U153,"◐ Partiel"))/(COUNTIF(R153:U153,"☑ Implémenté")+COUNTIF(R153:U153,"☑ Oui")+COUNTIF(R153:U153,"◐ Partiel")+COUNTIF(R153:U153,"☐ Non implémenté")+COUNTIF(R153:U153,"☐ Non")),"")</x:f>
      </x:c>
      <x:c r="W153" s="82"/>
      <x:c r="X153" s="82"/>
      <x:c r="Y153" s="84" t="str">
        <x:f>IFERROR((COUNTIF(W153:X153,"☑ Implémenté")+COUNTIF(W153:X153,"☑ Oui")+0.5*COUNTIF(W153:X153,"◐ Partiel"))/(COUNTIF(W153:X153,"☑ Implémenté")+COUNTIF(W153:X153,"☑ Oui")+COUNTIF(W153:X153,"◐ Partiel")+COUNTIF(W153:X153,"☐ Non implémenté")+COUNTIF(W153:X153,"☐ Non")),"")</x:f>
      </x:c>
      <x:c r="Z153" s="82"/>
      <x:c r="AA153" s="82"/>
      <x:c r="AB153" s="82"/>
      <x:c r="AC153" s="82"/>
      <x:c r="AD153" s="82"/>
      <x:c r="AE153" s="82"/>
      <x:c r="AF153" s="82"/>
      <x:c r="AG153" s="84"/>
      <x:c r="AH153" s="82"/>
      <x:c r="AI153" s="82"/>
      <x:c r="AJ153" s="82"/>
      <x:c r="AK153" s="82"/>
      <x:c r="AL153" s="82"/>
      <x:c r="AM153" s="82"/>
      <x:c r="AN153" s="82"/>
      <x:c r="AO153" s="82"/>
      <x:c r="AP153" s="82"/>
      <x:c r="AQ153" s="82"/>
      <x:c r="AR153" s="82"/>
      <x:c r="AS153" s="82"/>
      <x:c r="AT153" s="82"/>
      <x:c r="AU153" s="82"/>
      <x:c r="AV153" s="82"/>
      <x:c r="AW153" s="82"/>
      <x:c r="AX153" s="82"/>
      <x:c r="AY153" s="82"/>
      <x:c r="AZ153" s="82"/>
      <x:c r="BA153" s="82"/>
      <x:c r="BB153" s="82"/>
      <x:c r="BC153" s="82"/>
      <x:c r="BD153" s="84" t="str">
        <x:f>IFERROR((COUNTIF(AZ153:BC153,"☑ Implémenté")+COUNTIF(AZ153:BC153,"☑ Oui")+0.5*COUNTIF(AZ153:BC153,"◐ Partiel"))/(COUNTIF(AZ153:BC153,"☑ Implémenté")+COUNTIF(AZ153:BC153,"☑ Oui")+COUNTIF(AZ153:BC153,"◐ Partiel")+COUNTIF(AZ153:BC153,"☐ Non implémenté")+COUNTIF(AZ153:BC153,"☐ Non")),"")</x:f>
      </x:c>
      <x:c r="BE153" s="84" t="str">
        <x:f>IFERROR((COUNTIF(H153:BD153,"☑ Implémenté")+COUNTIF(H153:BD153,"☑ Oui")+COUNTIF(H153:BD153,"DevOpsFundation")+0.5*COUNTIF(H153:BD153,"◐ Partiel"))/(COUNTIF(H153:BD153,"☑ Implémenté")+COUNTIF(H153:BD153,"☑ Oui")+COUNTIF(H153:BD153,"DevOpsFundation")+COUNTIF(H153:BD153,"◐ Partiel")+COUNTIF(H153:BD153,"☐ Non implémenté")+COUNTIF(H153:BD153,"☐ Non")),"")</x:f>
      </x:c>
      <x:c r="BF153" s="82" t="str">
        <x:f>IF(B153="","",COUNTIF(H153:BD153,"☐ Non implémenté")+COUNTIF(H153:BD153,"☐ Non")+COUNTIF(H153:BD153,"◐ Partiel"))</x:f>
      </x:c>
      <x:c r="BG153" s="82"/>
    </x:row>
    <x:row r="154">
      <x:c r="A154" s="82"/>
      <x:c r="B154" s="82"/>
      <x:c r="C154" s="82"/>
      <x:c r="D154" s="82"/>
      <x:c r="E154" s="82"/>
      <x:c r="F154" s="82"/>
      <x:c r="G154" s="82"/>
      <x:c r="H154" s="82"/>
      <x:c r="I154" s="82"/>
      <x:c r="J154" s="82"/>
      <x:c r="K154" s="82"/>
      <x:c r="L154" s="82"/>
      <x:c r="M154" s="82"/>
      <x:c r="N154" s="82"/>
      <x:c r="O154" s="82"/>
      <x:c r="P154" s="82"/>
      <x:c r="Q154" s="84" t="str">
        <x:f>IFERROR((COUNTIF(H154:P154,"☑ Implémenté")+COUNTIF(H154:P154,"☑ Oui")+0.5*COUNTIF(H154:P154,"◐ Partiel"))/(COUNTIF(H154:P154,"☑ Implémenté")+COUNTIF(H154:P154,"☑ Oui")+COUNTIF(H154:P154,"◐ Partiel")+COUNTIF(H154:P154,"☐ Non implémenté")+COUNTIF(H154:P154,"☐ Non")),"")</x:f>
      </x:c>
      <x:c r="R154" s="82"/>
      <x:c r="S154" s="82"/>
      <x:c r="T154" s="82"/>
      <x:c r="U154" s="82"/>
      <x:c r="V154" s="84" t="str">
        <x:f>IFERROR((COUNTIF(R154:U154,"☑ Implémenté")+COUNTIF(R154:U154,"☑ Oui")+0.5*COUNTIF(R154:U154,"◐ Partiel"))/(COUNTIF(R154:U154,"☑ Implémenté")+COUNTIF(R154:U154,"☑ Oui")+COUNTIF(R154:U154,"◐ Partiel")+COUNTIF(R154:U154,"☐ Non implémenté")+COUNTIF(R154:U154,"☐ Non")),"")</x:f>
      </x:c>
      <x:c r="W154" s="82"/>
      <x:c r="X154" s="82"/>
      <x:c r="Y154" s="84" t="str">
        <x:f>IFERROR((COUNTIF(W154:X154,"☑ Implémenté")+COUNTIF(W154:X154,"☑ Oui")+0.5*COUNTIF(W154:X154,"◐ Partiel"))/(COUNTIF(W154:X154,"☑ Implémenté")+COUNTIF(W154:X154,"☑ Oui")+COUNTIF(W154:X154,"◐ Partiel")+COUNTIF(W154:X154,"☐ Non implémenté")+COUNTIF(W154:X154,"☐ Non")),"")</x:f>
      </x:c>
      <x:c r="Z154" s="82"/>
      <x:c r="AA154" s="82"/>
      <x:c r="AB154" s="82"/>
      <x:c r="AC154" s="82"/>
      <x:c r="AD154" s="82"/>
      <x:c r="AE154" s="82"/>
      <x:c r="AF154" s="82"/>
      <x:c r="AG154" s="84"/>
      <x:c r="AH154" s="82"/>
      <x:c r="AI154" s="82"/>
      <x:c r="AJ154" s="82"/>
      <x:c r="AK154" s="82"/>
      <x:c r="AL154" s="82"/>
      <x:c r="AM154" s="82"/>
      <x:c r="AN154" s="82"/>
      <x:c r="AO154" s="82"/>
      <x:c r="AP154" s="82"/>
      <x:c r="AQ154" s="82"/>
      <x:c r="AR154" s="82"/>
      <x:c r="AS154" s="82"/>
      <x:c r="AT154" s="82"/>
      <x:c r="AU154" s="82"/>
      <x:c r="AV154" s="82"/>
      <x:c r="AW154" s="82"/>
      <x:c r="AX154" s="82"/>
      <x:c r="AY154" s="82"/>
      <x:c r="AZ154" s="82"/>
      <x:c r="BA154" s="82"/>
      <x:c r="BB154" s="82"/>
      <x:c r="BC154" s="82"/>
      <x:c r="BD154" s="84" t="str">
        <x:f>IFERROR((COUNTIF(AZ154:BC154,"☑ Implémenté")+COUNTIF(AZ154:BC154,"☑ Oui")+0.5*COUNTIF(AZ154:BC154,"◐ Partiel"))/(COUNTIF(AZ154:BC154,"☑ Implémenté")+COUNTIF(AZ154:BC154,"☑ Oui")+COUNTIF(AZ154:BC154,"◐ Partiel")+COUNTIF(AZ154:BC154,"☐ Non implémenté")+COUNTIF(AZ154:BC154,"☐ Non")),"")</x:f>
      </x:c>
      <x:c r="BE154" s="84" t="str">
        <x:f>IFERROR((COUNTIF(H154:BD154,"☑ Implémenté")+COUNTIF(H154:BD154,"☑ Oui")+COUNTIF(H154:BD154,"DevOpsFundation")+0.5*COUNTIF(H154:BD154,"◐ Partiel"))/(COUNTIF(H154:BD154,"☑ Implémenté")+COUNTIF(H154:BD154,"☑ Oui")+COUNTIF(H154:BD154,"DevOpsFundation")+COUNTIF(H154:BD154,"◐ Partiel")+COUNTIF(H154:BD154,"☐ Non implémenté")+COUNTIF(H154:BD154,"☐ Non")),"")</x:f>
      </x:c>
      <x:c r="BF154" s="82" t="str">
        <x:f>IF(B154="","",COUNTIF(H154:BD154,"☐ Non implémenté")+COUNTIF(H154:BD154,"☐ Non")+COUNTIF(H154:BD154,"◐ Partiel"))</x:f>
      </x:c>
      <x:c r="BG154" s="82"/>
    </x:row>
    <x:row r="155">
      <x:c r="A155" s="82"/>
      <x:c r="B155" s="82"/>
      <x:c r="C155" s="82"/>
      <x:c r="D155" s="82"/>
      <x:c r="E155" s="82"/>
      <x:c r="F155" s="82"/>
      <x:c r="G155" s="82"/>
      <x:c r="H155" s="82"/>
      <x:c r="I155" s="82"/>
      <x:c r="J155" s="82"/>
      <x:c r="K155" s="82"/>
      <x:c r="L155" s="82"/>
      <x:c r="M155" s="82"/>
      <x:c r="N155" s="82"/>
      <x:c r="O155" s="82"/>
      <x:c r="P155" s="82"/>
      <x:c r="Q155" s="84" t="str">
        <x:f>IFERROR((COUNTIF(H155:P155,"☑ Implémenté")+COUNTIF(H155:P155,"☑ Oui")+0.5*COUNTIF(H155:P155,"◐ Partiel"))/(COUNTIF(H155:P155,"☑ Implémenté")+COUNTIF(H155:P155,"☑ Oui")+COUNTIF(H155:P155,"◐ Partiel")+COUNTIF(H155:P155,"☐ Non implémenté")+COUNTIF(H155:P155,"☐ Non")),"")</x:f>
      </x:c>
      <x:c r="R155" s="82"/>
      <x:c r="S155" s="82"/>
      <x:c r="T155" s="82"/>
      <x:c r="U155" s="82"/>
      <x:c r="V155" s="84" t="str">
        <x:f>IFERROR((COUNTIF(R155:U155,"☑ Implémenté")+COUNTIF(R155:U155,"☑ Oui")+0.5*COUNTIF(R155:U155,"◐ Partiel"))/(COUNTIF(R155:U155,"☑ Implémenté")+COUNTIF(R155:U155,"☑ Oui")+COUNTIF(R155:U155,"◐ Partiel")+COUNTIF(R155:U155,"☐ Non implémenté")+COUNTIF(R155:U155,"☐ Non")),"")</x:f>
      </x:c>
      <x:c r="W155" s="82"/>
      <x:c r="X155" s="82"/>
      <x:c r="Y155" s="84" t="str">
        <x:f>IFERROR((COUNTIF(W155:X155,"☑ Implémenté")+COUNTIF(W155:X155,"☑ Oui")+0.5*COUNTIF(W155:X155,"◐ Partiel"))/(COUNTIF(W155:X155,"☑ Implémenté")+COUNTIF(W155:X155,"☑ Oui")+COUNTIF(W155:X155,"◐ Partiel")+COUNTIF(W155:X155,"☐ Non implémenté")+COUNTIF(W155:X155,"☐ Non")),"")</x:f>
      </x:c>
      <x:c r="Z155" s="82"/>
      <x:c r="AA155" s="82"/>
      <x:c r="AB155" s="82"/>
      <x:c r="AC155" s="82"/>
      <x:c r="AD155" s="82"/>
      <x:c r="AE155" s="82"/>
      <x:c r="AF155" s="82"/>
      <x:c r="AG155" s="84"/>
      <x:c r="AH155" s="82"/>
      <x:c r="AI155" s="82"/>
      <x:c r="AJ155" s="82"/>
      <x:c r="AK155" s="82"/>
      <x:c r="AL155" s="82"/>
      <x:c r="AM155" s="82"/>
      <x:c r="AN155" s="82"/>
      <x:c r="AO155" s="82"/>
      <x:c r="AP155" s="82"/>
      <x:c r="AQ155" s="82"/>
      <x:c r="AR155" s="82"/>
      <x:c r="AS155" s="82"/>
      <x:c r="AT155" s="82"/>
      <x:c r="AU155" s="82"/>
      <x:c r="AV155" s="82"/>
      <x:c r="AW155" s="82"/>
      <x:c r="AX155" s="82"/>
      <x:c r="AY155" s="82"/>
      <x:c r="AZ155" s="82"/>
      <x:c r="BA155" s="82"/>
      <x:c r="BB155" s="82"/>
      <x:c r="BC155" s="82"/>
      <x:c r="BD155" s="84" t="str">
        <x:f>IFERROR((COUNTIF(AZ155:BC155,"☑ Implémenté")+COUNTIF(AZ155:BC155,"☑ Oui")+0.5*COUNTIF(AZ155:BC155,"◐ Partiel"))/(COUNTIF(AZ155:BC155,"☑ Implémenté")+COUNTIF(AZ155:BC155,"☑ Oui")+COUNTIF(AZ155:BC155,"◐ Partiel")+COUNTIF(AZ155:BC155,"☐ Non implémenté")+COUNTIF(AZ155:BC155,"☐ Non")),"")</x:f>
      </x:c>
      <x:c r="BE155" s="84" t="str">
        <x:f>IFERROR((COUNTIF(H155:BD155,"☑ Implémenté")+COUNTIF(H155:BD155,"☑ Oui")+COUNTIF(H155:BD155,"DevOpsFundation")+0.5*COUNTIF(H155:BD155,"◐ Partiel"))/(COUNTIF(H155:BD155,"☑ Implémenté")+COUNTIF(H155:BD155,"☑ Oui")+COUNTIF(H155:BD155,"DevOpsFundation")+COUNTIF(H155:BD155,"◐ Partiel")+COUNTIF(H155:BD155,"☐ Non implémenté")+COUNTIF(H155:BD155,"☐ Non")),"")</x:f>
      </x:c>
      <x:c r="BF155" s="82" t="str">
        <x:f>IF(B155="","",COUNTIF(H155:BD155,"☐ Non implémenté")+COUNTIF(H155:BD155,"☐ Non")+COUNTIF(H155:BD155,"◐ Partiel"))</x:f>
      </x:c>
      <x:c r="BG155" s="82"/>
    </x:row>
    <x:row r="156">
      <x:c r="A156" s="82"/>
      <x:c r="B156" s="82"/>
      <x:c r="C156" s="82"/>
      <x:c r="D156" s="82"/>
      <x:c r="E156" s="82"/>
      <x:c r="F156" s="82"/>
      <x:c r="G156" s="82"/>
      <x:c r="H156" s="82"/>
      <x:c r="I156" s="82"/>
      <x:c r="J156" s="82"/>
      <x:c r="K156" s="82"/>
      <x:c r="L156" s="82"/>
      <x:c r="M156" s="82"/>
      <x:c r="N156" s="82"/>
      <x:c r="O156" s="82"/>
      <x:c r="P156" s="82"/>
      <x:c r="Q156" s="84" t="str">
        <x:f>IFERROR((COUNTIF(H156:P156,"☑ Implémenté")+COUNTIF(H156:P156,"☑ Oui")+0.5*COUNTIF(H156:P156,"◐ Partiel"))/(COUNTIF(H156:P156,"☑ Implémenté")+COUNTIF(H156:P156,"☑ Oui")+COUNTIF(H156:P156,"◐ Partiel")+COUNTIF(H156:P156,"☐ Non implémenté")+COUNTIF(H156:P156,"☐ Non")),"")</x:f>
      </x:c>
      <x:c r="R156" s="82"/>
      <x:c r="S156" s="82"/>
      <x:c r="T156" s="82"/>
      <x:c r="U156" s="82"/>
      <x:c r="V156" s="84" t="str">
        <x:f>IFERROR((COUNTIF(R156:U156,"☑ Implémenté")+COUNTIF(R156:U156,"☑ Oui")+0.5*COUNTIF(R156:U156,"◐ Partiel"))/(COUNTIF(R156:U156,"☑ Implémenté")+COUNTIF(R156:U156,"☑ Oui")+COUNTIF(R156:U156,"◐ Partiel")+COUNTIF(R156:U156,"☐ Non implémenté")+COUNTIF(R156:U156,"☐ Non")),"")</x:f>
      </x:c>
      <x:c r="W156" s="82"/>
      <x:c r="X156" s="82"/>
      <x:c r="Y156" s="84" t="str">
        <x:f>IFERROR((COUNTIF(W156:X156,"☑ Implémenté")+COUNTIF(W156:X156,"☑ Oui")+0.5*COUNTIF(W156:X156,"◐ Partiel"))/(COUNTIF(W156:X156,"☑ Implémenté")+COUNTIF(W156:X156,"☑ Oui")+COUNTIF(W156:X156,"◐ Partiel")+COUNTIF(W156:X156,"☐ Non implémenté")+COUNTIF(W156:X156,"☐ Non")),"")</x:f>
      </x:c>
      <x:c r="Z156" s="82"/>
      <x:c r="AA156" s="82"/>
      <x:c r="AB156" s="82"/>
      <x:c r="AC156" s="82"/>
      <x:c r="AD156" s="82"/>
      <x:c r="AE156" s="82"/>
      <x:c r="AF156" s="82"/>
      <x:c r="AG156" s="84"/>
      <x:c r="AH156" s="82"/>
      <x:c r="AI156" s="82"/>
      <x:c r="AJ156" s="82"/>
      <x:c r="AK156" s="82"/>
      <x:c r="AL156" s="82"/>
      <x:c r="AM156" s="82"/>
      <x:c r="AN156" s="82"/>
      <x:c r="AO156" s="82"/>
      <x:c r="AP156" s="82"/>
      <x:c r="AQ156" s="82"/>
      <x:c r="AR156" s="82"/>
      <x:c r="AS156" s="82"/>
      <x:c r="AT156" s="82"/>
      <x:c r="AU156" s="82"/>
      <x:c r="AV156" s="82"/>
      <x:c r="AW156" s="82"/>
      <x:c r="AX156" s="82"/>
      <x:c r="AY156" s="82"/>
      <x:c r="AZ156" s="82"/>
      <x:c r="BA156" s="82"/>
      <x:c r="BB156" s="82"/>
      <x:c r="BC156" s="82"/>
      <x:c r="BD156" s="84" t="str">
        <x:f>IFERROR((COUNTIF(AZ156:BC156,"☑ Implémenté")+COUNTIF(AZ156:BC156,"☑ Oui")+0.5*COUNTIF(AZ156:BC156,"◐ Partiel"))/(COUNTIF(AZ156:BC156,"☑ Implémenté")+COUNTIF(AZ156:BC156,"☑ Oui")+COUNTIF(AZ156:BC156,"◐ Partiel")+COUNTIF(AZ156:BC156,"☐ Non implémenté")+COUNTIF(AZ156:BC156,"☐ Non")),"")</x:f>
      </x:c>
      <x:c r="BE156" s="84" t="str">
        <x:f>IFERROR((COUNTIF(H156:BD156,"☑ Implémenté")+COUNTIF(H156:BD156,"☑ Oui")+COUNTIF(H156:BD156,"DevOpsFundation")+0.5*COUNTIF(H156:BD156,"◐ Partiel"))/(COUNTIF(H156:BD156,"☑ Implémenté")+COUNTIF(H156:BD156,"☑ Oui")+COUNTIF(H156:BD156,"DevOpsFundation")+COUNTIF(H156:BD156,"◐ Partiel")+COUNTIF(H156:BD156,"☐ Non implémenté")+COUNTIF(H156:BD156,"☐ Non")),"")</x:f>
      </x:c>
      <x:c r="BF156" s="82" t="str">
        <x:f>IF(B156="","",COUNTIF(H156:BD156,"☐ Non implémenté")+COUNTIF(H156:BD156,"☐ Non")+COUNTIF(H156:BD156,"◐ Partiel"))</x:f>
      </x:c>
      <x:c r="BG156" s="82"/>
    </x:row>
    <x:row r="157">
      <x:c r="A157" s="82"/>
      <x:c r="B157" s="82"/>
      <x:c r="C157" s="82"/>
      <x:c r="D157" s="82"/>
      <x:c r="E157" s="82"/>
      <x:c r="F157" s="82"/>
      <x:c r="G157" s="82"/>
      <x:c r="H157" s="82"/>
      <x:c r="I157" s="82"/>
      <x:c r="J157" s="82"/>
      <x:c r="K157" s="82"/>
      <x:c r="L157" s="82"/>
      <x:c r="M157" s="82"/>
      <x:c r="N157" s="82"/>
      <x:c r="O157" s="82"/>
      <x:c r="P157" s="82"/>
      <x:c r="Q157" s="84" t="str">
        <x:f>IFERROR((COUNTIF(H157:P157,"☑ Implémenté")+COUNTIF(H157:P157,"☑ Oui")+0.5*COUNTIF(H157:P157,"◐ Partiel"))/(COUNTIF(H157:P157,"☑ Implémenté")+COUNTIF(H157:P157,"☑ Oui")+COUNTIF(H157:P157,"◐ Partiel")+COUNTIF(H157:P157,"☐ Non implémenté")+COUNTIF(H157:P157,"☐ Non")),"")</x:f>
      </x:c>
      <x:c r="R157" s="82"/>
      <x:c r="S157" s="82"/>
      <x:c r="T157" s="82"/>
      <x:c r="U157" s="82"/>
      <x:c r="V157" s="84" t="str">
        <x:f>IFERROR((COUNTIF(R157:U157,"☑ Implémenté")+COUNTIF(R157:U157,"☑ Oui")+0.5*COUNTIF(R157:U157,"◐ Partiel"))/(COUNTIF(R157:U157,"☑ Implémenté")+COUNTIF(R157:U157,"☑ Oui")+COUNTIF(R157:U157,"◐ Partiel")+COUNTIF(R157:U157,"☐ Non implémenté")+COUNTIF(R157:U157,"☐ Non")),"")</x:f>
      </x:c>
      <x:c r="W157" s="82"/>
      <x:c r="X157" s="82"/>
      <x:c r="Y157" s="84" t="str">
        <x:f>IFERROR((COUNTIF(W157:X157,"☑ Implémenté")+COUNTIF(W157:X157,"☑ Oui")+0.5*COUNTIF(W157:X157,"◐ Partiel"))/(COUNTIF(W157:X157,"☑ Implémenté")+COUNTIF(W157:X157,"☑ Oui")+COUNTIF(W157:X157,"◐ Partiel")+COUNTIF(W157:X157,"☐ Non implémenté")+COUNTIF(W157:X157,"☐ Non")),"")</x:f>
      </x:c>
      <x:c r="Z157" s="82"/>
      <x:c r="AA157" s="82"/>
      <x:c r="AB157" s="82"/>
      <x:c r="AC157" s="82"/>
      <x:c r="AD157" s="82"/>
      <x:c r="AE157" s="82"/>
      <x:c r="AF157" s="82"/>
      <x:c r="AG157" s="84"/>
      <x:c r="AH157" s="82"/>
      <x:c r="AI157" s="82"/>
      <x:c r="AJ157" s="82"/>
      <x:c r="AK157" s="82"/>
      <x:c r="AL157" s="82"/>
      <x:c r="AM157" s="82"/>
      <x:c r="AN157" s="82"/>
      <x:c r="AO157" s="82"/>
      <x:c r="AP157" s="82"/>
      <x:c r="AQ157" s="82"/>
      <x:c r="AR157" s="82"/>
      <x:c r="AS157" s="82"/>
      <x:c r="AT157" s="82"/>
      <x:c r="AU157" s="82"/>
      <x:c r="AV157" s="82"/>
      <x:c r="AW157" s="82"/>
      <x:c r="AX157" s="82"/>
      <x:c r="AY157" s="82"/>
      <x:c r="AZ157" s="82"/>
      <x:c r="BA157" s="82"/>
      <x:c r="BB157" s="82"/>
      <x:c r="BC157" s="82"/>
      <x:c r="BD157" s="84" t="str">
        <x:f>IFERROR((COUNTIF(AZ157:BC157,"☑ Implémenté")+COUNTIF(AZ157:BC157,"☑ Oui")+0.5*COUNTIF(AZ157:BC157,"◐ Partiel"))/(COUNTIF(AZ157:BC157,"☑ Implémenté")+COUNTIF(AZ157:BC157,"☑ Oui")+COUNTIF(AZ157:BC157,"◐ Partiel")+COUNTIF(AZ157:BC157,"☐ Non implémenté")+COUNTIF(AZ157:BC157,"☐ Non")),"")</x:f>
      </x:c>
      <x:c r="BE157" s="84" t="str">
        <x:f>IFERROR((COUNTIF(H157:BD157,"☑ Implémenté")+COUNTIF(H157:BD157,"☑ Oui")+COUNTIF(H157:BD157,"DevOpsFundation")+0.5*COUNTIF(H157:BD157,"◐ Partiel"))/(COUNTIF(H157:BD157,"☑ Implémenté")+COUNTIF(H157:BD157,"☑ Oui")+COUNTIF(H157:BD157,"DevOpsFundation")+COUNTIF(H157:BD157,"◐ Partiel")+COUNTIF(H157:BD157,"☐ Non implémenté")+COUNTIF(H157:BD157,"☐ Non")),"")</x:f>
      </x:c>
      <x:c r="BF157" s="82" t="str">
        <x:f>IF(B157="","",COUNTIF(H157:BD157,"☐ Non implémenté")+COUNTIF(H157:BD157,"☐ Non")+COUNTIF(H157:BD157,"◐ Partiel"))</x:f>
      </x:c>
      <x:c r="BG157" s="82"/>
    </x:row>
    <x:row r="158">
      <x:c r="A158" s="82"/>
      <x:c r="B158" s="82"/>
      <x:c r="C158" s="82"/>
      <x:c r="D158" s="82"/>
      <x:c r="E158" s="82"/>
      <x:c r="F158" s="82"/>
      <x:c r="G158" s="82"/>
      <x:c r="H158" s="82"/>
      <x:c r="I158" s="82"/>
      <x:c r="J158" s="82"/>
      <x:c r="K158" s="82"/>
      <x:c r="L158" s="82"/>
      <x:c r="M158" s="82"/>
      <x:c r="N158" s="82"/>
      <x:c r="O158" s="82"/>
      <x:c r="P158" s="82"/>
      <x:c r="Q158" s="84" t="str">
        <x:f>IFERROR((COUNTIF(H158:P158,"☑ Implémenté")+COUNTIF(H158:P158,"☑ Oui")+0.5*COUNTIF(H158:P158,"◐ Partiel"))/(COUNTIF(H158:P158,"☑ Implémenté")+COUNTIF(H158:P158,"☑ Oui")+COUNTIF(H158:P158,"◐ Partiel")+COUNTIF(H158:P158,"☐ Non implémenté")+COUNTIF(H158:P158,"☐ Non")),"")</x:f>
      </x:c>
      <x:c r="R158" s="82"/>
      <x:c r="S158" s="82"/>
      <x:c r="T158" s="82"/>
      <x:c r="U158" s="82"/>
      <x:c r="V158" s="84" t="str">
        <x:f>IFERROR((COUNTIF(R158:U158,"☑ Implémenté")+COUNTIF(R158:U158,"☑ Oui")+0.5*COUNTIF(R158:U158,"◐ Partiel"))/(COUNTIF(R158:U158,"☑ Implémenté")+COUNTIF(R158:U158,"☑ Oui")+COUNTIF(R158:U158,"◐ Partiel")+COUNTIF(R158:U158,"☐ Non implémenté")+COUNTIF(R158:U158,"☐ Non")),"")</x:f>
      </x:c>
      <x:c r="W158" s="82"/>
      <x:c r="X158" s="82"/>
      <x:c r="Y158" s="84" t="str">
        <x:f>IFERROR((COUNTIF(W158:X158,"☑ Implémenté")+COUNTIF(W158:X158,"☑ Oui")+0.5*COUNTIF(W158:X158,"◐ Partiel"))/(COUNTIF(W158:X158,"☑ Implémenté")+COUNTIF(W158:X158,"☑ Oui")+COUNTIF(W158:X158,"◐ Partiel")+COUNTIF(W158:X158,"☐ Non implémenté")+COUNTIF(W158:X158,"☐ Non")),"")</x:f>
      </x:c>
      <x:c r="Z158" s="82"/>
      <x:c r="AA158" s="82"/>
      <x:c r="AB158" s="82"/>
      <x:c r="AC158" s="82"/>
      <x:c r="AD158" s="82"/>
      <x:c r="AE158" s="82"/>
      <x:c r="AF158" s="82"/>
      <x:c r="AG158" s="84"/>
      <x:c r="AH158" s="82"/>
      <x:c r="AI158" s="82"/>
      <x:c r="AJ158" s="82"/>
      <x:c r="AK158" s="82"/>
      <x:c r="AL158" s="82"/>
      <x:c r="AM158" s="82"/>
      <x:c r="AN158" s="82"/>
      <x:c r="AO158" s="82"/>
      <x:c r="AP158" s="82"/>
      <x:c r="AQ158" s="82"/>
      <x:c r="AR158" s="82"/>
      <x:c r="AS158" s="82"/>
      <x:c r="AT158" s="82"/>
      <x:c r="AU158" s="82"/>
      <x:c r="AV158" s="82"/>
      <x:c r="AW158" s="82"/>
      <x:c r="AX158" s="82"/>
      <x:c r="AY158" s="82"/>
      <x:c r="AZ158" s="82"/>
      <x:c r="BA158" s="82"/>
      <x:c r="BB158" s="82"/>
      <x:c r="BC158" s="82"/>
      <x:c r="BD158" s="84" t="str">
        <x:f>IFERROR((COUNTIF(AZ158:BC158,"☑ Implémenté")+COUNTIF(AZ158:BC158,"☑ Oui")+0.5*COUNTIF(AZ158:BC158,"◐ Partiel"))/(COUNTIF(AZ158:BC158,"☑ Implémenté")+COUNTIF(AZ158:BC158,"☑ Oui")+COUNTIF(AZ158:BC158,"◐ Partiel")+COUNTIF(AZ158:BC158,"☐ Non implémenté")+COUNTIF(AZ158:BC158,"☐ Non")),"")</x:f>
      </x:c>
      <x:c r="BE158" s="84" t="str">
        <x:f>IFERROR((COUNTIF(H158:BD158,"☑ Implémenté")+COUNTIF(H158:BD158,"☑ Oui")+COUNTIF(H158:BD158,"DevOpsFundation")+0.5*COUNTIF(H158:BD158,"◐ Partiel"))/(COUNTIF(H158:BD158,"☑ Implémenté")+COUNTIF(H158:BD158,"☑ Oui")+COUNTIF(H158:BD158,"DevOpsFundation")+COUNTIF(H158:BD158,"◐ Partiel")+COUNTIF(H158:BD158,"☐ Non implémenté")+COUNTIF(H158:BD158,"☐ Non")),"")</x:f>
      </x:c>
      <x:c r="BF158" s="82" t="str">
        <x:f>IF(B158="","",COUNTIF(H158:BD158,"☐ Non implémenté")+COUNTIF(H158:BD158,"☐ Non")+COUNTIF(H158:BD158,"◐ Partiel"))</x:f>
      </x:c>
      <x:c r="BG158" s="82"/>
    </x:row>
    <x:row r="159">
      <x:c r="A159" s="82"/>
      <x:c r="B159" s="82"/>
      <x:c r="C159" s="82"/>
      <x:c r="D159" s="82"/>
      <x:c r="E159" s="82"/>
      <x:c r="F159" s="82"/>
      <x:c r="G159" s="82"/>
      <x:c r="H159" s="82"/>
      <x:c r="I159" s="82"/>
      <x:c r="J159" s="82"/>
      <x:c r="K159" s="82"/>
      <x:c r="L159" s="82"/>
      <x:c r="M159" s="82"/>
      <x:c r="N159" s="82"/>
      <x:c r="O159" s="82"/>
      <x:c r="P159" s="82"/>
      <x:c r="Q159" s="84" t="str">
        <x:f>IFERROR((COUNTIF(H159:P159,"☑ Implémenté")+COUNTIF(H159:P159,"☑ Oui")+0.5*COUNTIF(H159:P159,"◐ Partiel"))/(COUNTIF(H159:P159,"☑ Implémenté")+COUNTIF(H159:P159,"☑ Oui")+COUNTIF(H159:P159,"◐ Partiel")+COUNTIF(H159:P159,"☐ Non implémenté")+COUNTIF(H159:P159,"☐ Non")),"")</x:f>
      </x:c>
      <x:c r="R159" s="82"/>
      <x:c r="S159" s="82"/>
      <x:c r="T159" s="82"/>
      <x:c r="U159" s="82"/>
      <x:c r="V159" s="84" t="str">
        <x:f>IFERROR((COUNTIF(R159:U159,"☑ Implémenté")+COUNTIF(R159:U159,"☑ Oui")+0.5*COUNTIF(R159:U159,"◐ Partiel"))/(COUNTIF(R159:U159,"☑ Implémenté")+COUNTIF(R159:U159,"☑ Oui")+COUNTIF(R159:U159,"◐ Partiel")+COUNTIF(R159:U159,"☐ Non implémenté")+COUNTIF(R159:U159,"☐ Non")),"")</x:f>
      </x:c>
      <x:c r="W159" s="82"/>
      <x:c r="X159" s="82"/>
      <x:c r="Y159" s="84" t="str">
        <x:f>IFERROR((COUNTIF(W159:X159,"☑ Implémenté")+COUNTIF(W159:X159,"☑ Oui")+0.5*COUNTIF(W159:X159,"◐ Partiel"))/(COUNTIF(W159:X159,"☑ Implémenté")+COUNTIF(W159:X159,"☑ Oui")+COUNTIF(W159:X159,"◐ Partiel")+COUNTIF(W159:X159,"☐ Non implémenté")+COUNTIF(W159:X159,"☐ Non")),"")</x:f>
      </x:c>
      <x:c r="Z159" s="82"/>
      <x:c r="AA159" s="82"/>
      <x:c r="AB159" s="82"/>
      <x:c r="AC159" s="82"/>
      <x:c r="AD159" s="82"/>
      <x:c r="AE159" s="82"/>
      <x:c r="AF159" s="82"/>
      <x:c r="AG159" s="84"/>
      <x:c r="AH159" s="82"/>
      <x:c r="AI159" s="82"/>
      <x:c r="AJ159" s="82"/>
      <x:c r="AK159" s="82"/>
      <x:c r="AL159" s="82"/>
      <x:c r="AM159" s="82"/>
      <x:c r="AN159" s="82"/>
      <x:c r="AO159" s="82"/>
      <x:c r="AP159" s="82"/>
      <x:c r="AQ159" s="82"/>
      <x:c r="AR159" s="82"/>
      <x:c r="AS159" s="82"/>
      <x:c r="AT159" s="82"/>
      <x:c r="AU159" s="82"/>
      <x:c r="AV159" s="82"/>
      <x:c r="AW159" s="82"/>
      <x:c r="AX159" s="82"/>
      <x:c r="AY159" s="82"/>
      <x:c r="AZ159" s="82"/>
      <x:c r="BA159" s="82"/>
      <x:c r="BB159" s="82"/>
      <x:c r="BC159" s="82"/>
      <x:c r="BD159" s="84" t="str">
        <x:f>IFERROR((COUNTIF(AZ159:BC159,"☑ Implémenté")+COUNTIF(AZ159:BC159,"☑ Oui")+0.5*COUNTIF(AZ159:BC159,"◐ Partiel"))/(COUNTIF(AZ159:BC159,"☑ Implémenté")+COUNTIF(AZ159:BC159,"☑ Oui")+COUNTIF(AZ159:BC159,"◐ Partiel")+COUNTIF(AZ159:BC159,"☐ Non implémenté")+COUNTIF(AZ159:BC159,"☐ Non")),"")</x:f>
      </x:c>
      <x:c r="BE159" s="84" t="str">
        <x:f>IFERROR((COUNTIF(H159:BD159,"☑ Implémenté")+COUNTIF(H159:BD159,"☑ Oui")+COUNTIF(H159:BD159,"DevOpsFundation")+0.5*COUNTIF(H159:BD159,"◐ Partiel"))/(COUNTIF(H159:BD159,"☑ Implémenté")+COUNTIF(H159:BD159,"☑ Oui")+COUNTIF(H159:BD159,"DevOpsFundation")+COUNTIF(H159:BD159,"◐ Partiel")+COUNTIF(H159:BD159,"☐ Non implémenté")+COUNTIF(H159:BD159,"☐ Non")),"")</x:f>
      </x:c>
      <x:c r="BF159" s="82" t="str">
        <x:f>IF(B159="","",COUNTIF(H159:BD159,"☐ Non implémenté")+COUNTIF(H159:BD159,"☐ Non")+COUNTIF(H159:BD159,"◐ Partiel"))</x:f>
      </x:c>
      <x:c r="BG159" s="82"/>
    </x:row>
    <x:row r="160">
      <x:c r="A160" s="82"/>
      <x:c r="B160" s="82"/>
      <x:c r="C160" s="82"/>
      <x:c r="D160" s="82"/>
      <x:c r="E160" s="82"/>
      <x:c r="F160" s="82"/>
      <x:c r="G160" s="82"/>
      <x:c r="H160" s="82"/>
      <x:c r="I160" s="82"/>
      <x:c r="J160" s="82"/>
      <x:c r="K160" s="82"/>
      <x:c r="L160" s="82"/>
      <x:c r="M160" s="82"/>
      <x:c r="N160" s="82"/>
      <x:c r="O160" s="82"/>
      <x:c r="P160" s="82"/>
      <x:c r="Q160" s="84" t="str">
        <x:f>IFERROR((COUNTIF(H160:P160,"☑ Implémenté")+COUNTIF(H160:P160,"☑ Oui")+0.5*COUNTIF(H160:P160,"◐ Partiel"))/(COUNTIF(H160:P160,"☑ Implémenté")+COUNTIF(H160:P160,"☑ Oui")+COUNTIF(H160:P160,"◐ Partiel")+COUNTIF(H160:P160,"☐ Non implémenté")+COUNTIF(H160:P160,"☐ Non")),"")</x:f>
      </x:c>
      <x:c r="R160" s="82"/>
      <x:c r="S160" s="82"/>
      <x:c r="T160" s="82"/>
      <x:c r="U160" s="82"/>
      <x:c r="V160" s="84" t="str">
        <x:f>IFERROR((COUNTIF(R160:U160,"☑ Implémenté")+COUNTIF(R160:U160,"☑ Oui")+0.5*COUNTIF(R160:U160,"◐ Partiel"))/(COUNTIF(R160:U160,"☑ Implémenté")+COUNTIF(R160:U160,"☑ Oui")+COUNTIF(R160:U160,"◐ Partiel")+COUNTIF(R160:U160,"☐ Non implémenté")+COUNTIF(R160:U160,"☐ Non")),"")</x:f>
      </x:c>
      <x:c r="W160" s="82"/>
      <x:c r="X160" s="82"/>
      <x:c r="Y160" s="84" t="str">
        <x:f>IFERROR((COUNTIF(W160:X160,"☑ Implémenté")+COUNTIF(W160:X160,"☑ Oui")+0.5*COUNTIF(W160:X160,"◐ Partiel"))/(COUNTIF(W160:X160,"☑ Implémenté")+COUNTIF(W160:X160,"☑ Oui")+COUNTIF(W160:X160,"◐ Partiel")+COUNTIF(W160:X160,"☐ Non implémenté")+COUNTIF(W160:X160,"☐ Non")),"")</x:f>
      </x:c>
      <x:c r="Z160" s="82"/>
      <x:c r="AA160" s="82"/>
      <x:c r="AB160" s="82"/>
      <x:c r="AC160" s="82"/>
      <x:c r="AD160" s="82"/>
      <x:c r="AE160" s="82"/>
      <x:c r="AF160" s="82"/>
      <x:c r="AG160" s="84"/>
      <x:c r="AH160" s="82"/>
      <x:c r="AI160" s="82"/>
      <x:c r="AJ160" s="82"/>
      <x:c r="AK160" s="82"/>
      <x:c r="AL160" s="82"/>
      <x:c r="AM160" s="82"/>
      <x:c r="AN160" s="82"/>
      <x:c r="AO160" s="82"/>
      <x:c r="AP160" s="82"/>
      <x:c r="AQ160" s="82"/>
      <x:c r="AR160" s="82"/>
      <x:c r="AS160" s="82"/>
      <x:c r="AT160" s="82"/>
      <x:c r="AU160" s="82"/>
      <x:c r="AV160" s="82"/>
      <x:c r="AW160" s="82"/>
      <x:c r="AX160" s="82"/>
      <x:c r="AY160" s="82"/>
      <x:c r="AZ160" s="82"/>
      <x:c r="BA160" s="82"/>
      <x:c r="BB160" s="82"/>
      <x:c r="BC160" s="82"/>
      <x:c r="BD160" s="84" t="str">
        <x:f>IFERROR((COUNTIF(AZ160:BC160,"☑ Implémenté")+COUNTIF(AZ160:BC160,"☑ Oui")+0.5*COUNTIF(AZ160:BC160,"◐ Partiel"))/(COUNTIF(AZ160:BC160,"☑ Implémenté")+COUNTIF(AZ160:BC160,"☑ Oui")+COUNTIF(AZ160:BC160,"◐ Partiel")+COUNTIF(AZ160:BC160,"☐ Non implémenté")+COUNTIF(AZ160:BC160,"☐ Non")),"")</x:f>
      </x:c>
      <x:c r="BE160" s="84" t="str">
        <x:f>IFERROR((COUNTIF(H160:BD160,"☑ Implémenté")+COUNTIF(H160:BD160,"☑ Oui")+COUNTIF(H160:BD160,"DevOpsFundation")+0.5*COUNTIF(H160:BD160,"◐ Partiel"))/(COUNTIF(H160:BD160,"☑ Implémenté")+COUNTIF(H160:BD160,"☑ Oui")+COUNTIF(H160:BD160,"DevOpsFundation")+COUNTIF(H160:BD160,"◐ Partiel")+COUNTIF(H160:BD160,"☐ Non implémenté")+COUNTIF(H160:BD160,"☐ Non")),"")</x:f>
      </x:c>
      <x:c r="BF160" s="82" t="str">
        <x:f>IF(B160="","",COUNTIF(H160:BD160,"☐ Non implémenté")+COUNTIF(H160:BD160,"☐ Non")+COUNTIF(H160:BD160,"◐ Partiel"))</x:f>
      </x:c>
      <x:c r="BG160" s="82"/>
    </x:row>
    <x:row r="161">
      <x:c r="A161" s="82"/>
      <x:c r="B161" s="82"/>
      <x:c r="C161" s="82"/>
      <x:c r="D161" s="82"/>
      <x:c r="E161" s="82"/>
      <x:c r="F161" s="82"/>
      <x:c r="G161" s="82"/>
      <x:c r="H161" s="82"/>
      <x:c r="I161" s="82"/>
      <x:c r="J161" s="82"/>
      <x:c r="K161" s="82"/>
      <x:c r="L161" s="82"/>
      <x:c r="M161" s="82"/>
      <x:c r="N161" s="82"/>
      <x:c r="O161" s="82"/>
      <x:c r="P161" s="82"/>
      <x:c r="Q161" s="84" t="str">
        <x:f>IFERROR((COUNTIF(H161:P161,"☑ Implémenté")+COUNTIF(H161:P161,"☑ Oui")+0.5*COUNTIF(H161:P161,"◐ Partiel"))/(COUNTIF(H161:P161,"☑ Implémenté")+COUNTIF(H161:P161,"☑ Oui")+COUNTIF(H161:P161,"◐ Partiel")+COUNTIF(H161:P161,"☐ Non implémenté")+COUNTIF(H161:P161,"☐ Non")),"")</x:f>
      </x:c>
      <x:c r="R161" s="82"/>
      <x:c r="S161" s="82"/>
      <x:c r="T161" s="82"/>
      <x:c r="U161" s="82"/>
      <x:c r="V161" s="84" t="str">
        <x:f>IFERROR((COUNTIF(R161:U161,"☑ Implémenté")+COUNTIF(R161:U161,"☑ Oui")+0.5*COUNTIF(R161:U161,"◐ Partiel"))/(COUNTIF(R161:U161,"☑ Implémenté")+COUNTIF(R161:U161,"☑ Oui")+COUNTIF(R161:U161,"◐ Partiel")+COUNTIF(R161:U161,"☐ Non implémenté")+COUNTIF(R161:U161,"☐ Non")),"")</x:f>
      </x:c>
      <x:c r="W161" s="82"/>
      <x:c r="X161" s="82"/>
      <x:c r="Y161" s="84" t="str">
        <x:f>IFERROR((COUNTIF(W161:X161,"☑ Implémenté")+COUNTIF(W161:X161,"☑ Oui")+0.5*COUNTIF(W161:X161,"◐ Partiel"))/(COUNTIF(W161:X161,"☑ Implémenté")+COUNTIF(W161:X161,"☑ Oui")+COUNTIF(W161:X161,"◐ Partiel")+COUNTIF(W161:X161,"☐ Non implémenté")+COUNTIF(W161:X161,"☐ Non")),"")</x:f>
      </x:c>
      <x:c r="Z161" s="82"/>
      <x:c r="AA161" s="82"/>
      <x:c r="AB161" s="82"/>
      <x:c r="AC161" s="82"/>
      <x:c r="AD161" s="82"/>
      <x:c r="AE161" s="82"/>
      <x:c r="AF161" s="82"/>
      <x:c r="AG161" s="84"/>
      <x:c r="AH161" s="82"/>
      <x:c r="AI161" s="82"/>
      <x:c r="AJ161" s="82"/>
      <x:c r="AK161" s="82"/>
      <x:c r="AL161" s="82"/>
      <x:c r="AM161" s="82"/>
      <x:c r="AN161" s="82"/>
      <x:c r="AO161" s="82"/>
      <x:c r="AP161" s="82"/>
      <x:c r="AQ161" s="82"/>
      <x:c r="AR161" s="82"/>
      <x:c r="AS161" s="82"/>
      <x:c r="AT161" s="82"/>
      <x:c r="AU161" s="82"/>
      <x:c r="AV161" s="82"/>
      <x:c r="AW161" s="82"/>
      <x:c r="AX161" s="82"/>
      <x:c r="AY161" s="82"/>
      <x:c r="AZ161" s="82"/>
      <x:c r="BA161" s="82"/>
      <x:c r="BB161" s="82"/>
      <x:c r="BC161" s="82"/>
      <x:c r="BD161" s="84" t="str">
        <x:f>IFERROR((COUNTIF(AZ161:BC161,"☑ Implémenté")+COUNTIF(AZ161:BC161,"☑ Oui")+0.5*COUNTIF(AZ161:BC161,"◐ Partiel"))/(COUNTIF(AZ161:BC161,"☑ Implémenté")+COUNTIF(AZ161:BC161,"☑ Oui")+COUNTIF(AZ161:BC161,"◐ Partiel")+COUNTIF(AZ161:BC161,"☐ Non implémenté")+COUNTIF(AZ161:BC161,"☐ Non")),"")</x:f>
      </x:c>
      <x:c r="BE161" s="84" t="str">
        <x:f>IFERROR((COUNTIF(H161:BD161,"☑ Implémenté")+COUNTIF(H161:BD161,"☑ Oui")+COUNTIF(H161:BD161,"DevOpsFundation")+0.5*COUNTIF(H161:BD161,"◐ Partiel"))/(COUNTIF(H161:BD161,"☑ Implémenté")+COUNTIF(H161:BD161,"☑ Oui")+COUNTIF(H161:BD161,"DevOpsFundation")+COUNTIF(H161:BD161,"◐ Partiel")+COUNTIF(H161:BD161,"☐ Non implémenté")+COUNTIF(H161:BD161,"☐ Non")),"")</x:f>
      </x:c>
      <x:c r="BF161" s="82" t="str">
        <x:f>IF(B161="","",COUNTIF(H161:BD161,"☐ Non implémenté")+COUNTIF(H161:BD161,"☐ Non")+COUNTIF(H161:BD161,"◐ Partiel"))</x:f>
      </x:c>
      <x:c r="BG161" s="82"/>
    </x:row>
    <x:row r="162">
      <x:c r="A162" s="82"/>
      <x:c r="B162" s="82"/>
      <x:c r="C162" s="82"/>
      <x:c r="D162" s="82"/>
      <x:c r="E162" s="82"/>
      <x:c r="F162" s="82"/>
      <x:c r="G162" s="82"/>
      <x:c r="H162" s="82"/>
      <x:c r="I162" s="82"/>
      <x:c r="J162" s="82"/>
      <x:c r="K162" s="82"/>
      <x:c r="L162" s="82"/>
      <x:c r="M162" s="82"/>
      <x:c r="N162" s="82"/>
      <x:c r="O162" s="82"/>
      <x:c r="P162" s="82"/>
      <x:c r="Q162" s="84" t="str">
        <x:f>IFERROR((COUNTIF(H162:P162,"☑ Implémenté")+COUNTIF(H162:P162,"☑ Oui")+0.5*COUNTIF(H162:P162,"◐ Partiel"))/(COUNTIF(H162:P162,"☑ Implémenté")+COUNTIF(H162:P162,"☑ Oui")+COUNTIF(H162:P162,"◐ Partiel")+COUNTIF(H162:P162,"☐ Non implémenté")+COUNTIF(H162:P162,"☐ Non")),"")</x:f>
      </x:c>
      <x:c r="R162" s="82"/>
      <x:c r="S162" s="82"/>
      <x:c r="T162" s="82"/>
      <x:c r="U162" s="82"/>
      <x:c r="V162" s="84" t="str">
        <x:f>IFERROR((COUNTIF(R162:U162,"☑ Implémenté")+COUNTIF(R162:U162,"☑ Oui")+0.5*COUNTIF(R162:U162,"◐ Partiel"))/(COUNTIF(R162:U162,"☑ Implémenté")+COUNTIF(R162:U162,"☑ Oui")+COUNTIF(R162:U162,"◐ Partiel")+COUNTIF(R162:U162,"☐ Non implémenté")+COUNTIF(R162:U162,"☐ Non")),"")</x:f>
      </x:c>
      <x:c r="W162" s="82"/>
      <x:c r="X162" s="82"/>
      <x:c r="Y162" s="84" t="str">
        <x:f>IFERROR((COUNTIF(W162:X162,"☑ Implémenté")+COUNTIF(W162:X162,"☑ Oui")+0.5*COUNTIF(W162:X162,"◐ Partiel"))/(COUNTIF(W162:X162,"☑ Implémenté")+COUNTIF(W162:X162,"☑ Oui")+COUNTIF(W162:X162,"◐ Partiel")+COUNTIF(W162:X162,"☐ Non implémenté")+COUNTIF(W162:X162,"☐ Non")),"")</x:f>
      </x:c>
      <x:c r="Z162" s="82"/>
      <x:c r="AA162" s="82"/>
      <x:c r="AB162" s="82"/>
      <x:c r="AC162" s="82"/>
      <x:c r="AD162" s="82"/>
      <x:c r="AE162" s="82"/>
      <x:c r="AF162" s="82"/>
      <x:c r="AG162" s="84"/>
      <x:c r="AH162" s="82"/>
      <x:c r="AI162" s="82"/>
      <x:c r="AJ162" s="82"/>
      <x:c r="AK162" s="82"/>
      <x:c r="AL162" s="82"/>
      <x:c r="AM162" s="82"/>
      <x:c r="AN162" s="82"/>
      <x:c r="AO162" s="82"/>
      <x:c r="AP162" s="82"/>
      <x:c r="AQ162" s="82"/>
      <x:c r="AR162" s="82"/>
      <x:c r="AS162" s="82"/>
      <x:c r="AT162" s="82"/>
      <x:c r="AU162" s="82"/>
      <x:c r="AV162" s="82"/>
      <x:c r="AW162" s="82"/>
      <x:c r="AX162" s="82"/>
      <x:c r="AY162" s="82"/>
      <x:c r="AZ162" s="82"/>
      <x:c r="BA162" s="82"/>
      <x:c r="BB162" s="82"/>
      <x:c r="BC162" s="82"/>
      <x:c r="BD162" s="84" t="str">
        <x:f>IFERROR((COUNTIF(AZ162:BC162,"☑ Implémenté")+COUNTIF(AZ162:BC162,"☑ Oui")+0.5*COUNTIF(AZ162:BC162,"◐ Partiel"))/(COUNTIF(AZ162:BC162,"☑ Implémenté")+COUNTIF(AZ162:BC162,"☑ Oui")+COUNTIF(AZ162:BC162,"◐ Partiel")+COUNTIF(AZ162:BC162,"☐ Non implémenté")+COUNTIF(AZ162:BC162,"☐ Non")),"")</x:f>
      </x:c>
      <x:c r="BE162" s="84" t="str">
        <x:f>IFERROR((COUNTIF(H162:BD162,"☑ Implémenté")+COUNTIF(H162:BD162,"☑ Oui")+COUNTIF(H162:BD162,"DevOpsFundation")+0.5*COUNTIF(H162:BD162,"◐ Partiel"))/(COUNTIF(H162:BD162,"☑ Implémenté")+COUNTIF(H162:BD162,"☑ Oui")+COUNTIF(H162:BD162,"DevOpsFundation")+COUNTIF(H162:BD162,"◐ Partiel")+COUNTIF(H162:BD162,"☐ Non implémenté")+COUNTIF(H162:BD162,"☐ Non")),"")</x:f>
      </x:c>
      <x:c r="BF162" s="82" t="str">
        <x:f>IF(B162="","",COUNTIF(H162:BD162,"☐ Non implémenté")+COUNTIF(H162:BD162,"☐ Non")+COUNTIF(H162:BD162,"◐ Partiel"))</x:f>
      </x:c>
      <x:c r="BG162" s="82"/>
    </x:row>
    <x:row r="163">
      <x:c r="A163" s="82"/>
      <x:c r="B163" s="82"/>
      <x:c r="C163" s="82"/>
      <x:c r="D163" s="82"/>
      <x:c r="E163" s="82"/>
      <x:c r="F163" s="82"/>
      <x:c r="G163" s="82"/>
      <x:c r="H163" s="82"/>
      <x:c r="I163" s="82"/>
      <x:c r="J163" s="82"/>
      <x:c r="K163" s="82"/>
      <x:c r="L163" s="82"/>
      <x:c r="M163" s="82"/>
      <x:c r="N163" s="82"/>
      <x:c r="O163" s="82"/>
      <x:c r="P163" s="82"/>
      <x:c r="Q163" s="84" t="str">
        <x:f>IFERROR((COUNTIF(H163:P163,"☑ Implémenté")+COUNTIF(H163:P163,"☑ Oui")+0.5*COUNTIF(H163:P163,"◐ Partiel"))/(COUNTIF(H163:P163,"☑ Implémenté")+COUNTIF(H163:P163,"☑ Oui")+COUNTIF(H163:P163,"◐ Partiel")+COUNTIF(H163:P163,"☐ Non implémenté")+COUNTIF(H163:P163,"☐ Non")),"")</x:f>
      </x:c>
      <x:c r="R163" s="82"/>
      <x:c r="S163" s="82"/>
      <x:c r="T163" s="82"/>
      <x:c r="U163" s="82"/>
      <x:c r="V163" s="84" t="str">
        <x:f>IFERROR((COUNTIF(R163:U163,"☑ Implémenté")+COUNTIF(R163:U163,"☑ Oui")+0.5*COUNTIF(R163:U163,"◐ Partiel"))/(COUNTIF(R163:U163,"☑ Implémenté")+COUNTIF(R163:U163,"☑ Oui")+COUNTIF(R163:U163,"◐ Partiel")+COUNTIF(R163:U163,"☐ Non implémenté")+COUNTIF(R163:U163,"☐ Non")),"")</x:f>
      </x:c>
      <x:c r="W163" s="82"/>
      <x:c r="X163" s="82"/>
      <x:c r="Y163" s="84" t="str">
        <x:f>IFERROR((COUNTIF(W163:X163,"☑ Implémenté")+COUNTIF(W163:X163,"☑ Oui")+0.5*COUNTIF(W163:X163,"◐ Partiel"))/(COUNTIF(W163:X163,"☑ Implémenté")+COUNTIF(W163:X163,"☑ Oui")+COUNTIF(W163:X163,"◐ Partiel")+COUNTIF(W163:X163,"☐ Non implémenté")+COUNTIF(W163:X163,"☐ Non")),"")</x:f>
      </x:c>
      <x:c r="Z163" s="82"/>
      <x:c r="AA163" s="82"/>
      <x:c r="AB163" s="82"/>
      <x:c r="AC163" s="82"/>
      <x:c r="AD163" s="82"/>
      <x:c r="AE163" s="82"/>
      <x:c r="AF163" s="82"/>
      <x:c r="AG163" s="84"/>
      <x:c r="AH163" s="82"/>
      <x:c r="AI163" s="82"/>
      <x:c r="AJ163" s="82"/>
      <x:c r="AK163" s="82"/>
      <x:c r="AL163" s="82"/>
      <x:c r="AM163" s="82"/>
      <x:c r="AN163" s="82"/>
      <x:c r="AO163" s="82"/>
      <x:c r="AP163" s="82"/>
      <x:c r="AQ163" s="82"/>
      <x:c r="AR163" s="82"/>
      <x:c r="AS163" s="82"/>
      <x:c r="AT163" s="82"/>
      <x:c r="AU163" s="82"/>
      <x:c r="AV163" s="82"/>
      <x:c r="AW163" s="82"/>
      <x:c r="AX163" s="82"/>
      <x:c r="AY163" s="82"/>
      <x:c r="AZ163" s="82"/>
      <x:c r="BA163" s="82"/>
      <x:c r="BB163" s="82"/>
      <x:c r="BC163" s="82"/>
      <x:c r="BD163" s="84" t="str">
        <x:f>IFERROR((COUNTIF(AZ163:BC163,"☑ Implémenté")+COUNTIF(AZ163:BC163,"☑ Oui")+0.5*COUNTIF(AZ163:BC163,"◐ Partiel"))/(COUNTIF(AZ163:BC163,"☑ Implémenté")+COUNTIF(AZ163:BC163,"☑ Oui")+COUNTIF(AZ163:BC163,"◐ Partiel")+COUNTIF(AZ163:BC163,"☐ Non implémenté")+COUNTIF(AZ163:BC163,"☐ Non")),"")</x:f>
      </x:c>
      <x:c r="BE163" s="84" t="str">
        <x:f>IFERROR((COUNTIF(H163:BD163,"☑ Implémenté")+COUNTIF(H163:BD163,"☑ Oui")+COUNTIF(H163:BD163,"DevOpsFundation")+0.5*COUNTIF(H163:BD163,"◐ Partiel"))/(COUNTIF(H163:BD163,"☑ Implémenté")+COUNTIF(H163:BD163,"☑ Oui")+COUNTIF(H163:BD163,"DevOpsFundation")+COUNTIF(H163:BD163,"◐ Partiel")+COUNTIF(H163:BD163,"☐ Non implémenté")+COUNTIF(H163:BD163,"☐ Non")),"")</x:f>
      </x:c>
      <x:c r="BF163" s="82" t="str">
        <x:f>IF(B163="","",COUNTIF(H163:BD163,"☐ Non implémenté")+COUNTIF(H163:BD163,"☐ Non")+COUNTIF(H163:BD163,"◐ Partiel"))</x:f>
      </x:c>
      <x:c r="BG163" s="82"/>
    </x:row>
    <x:row r="164">
      <x:c r="A164" s="82"/>
      <x:c r="B164" s="82"/>
      <x:c r="C164" s="82"/>
      <x:c r="D164" s="82"/>
      <x:c r="E164" s="82"/>
      <x:c r="F164" s="82"/>
      <x:c r="G164" s="82"/>
      <x:c r="H164" s="82"/>
      <x:c r="I164" s="82"/>
      <x:c r="J164" s="82"/>
      <x:c r="K164" s="82"/>
      <x:c r="L164" s="82"/>
      <x:c r="M164" s="82"/>
      <x:c r="N164" s="82"/>
      <x:c r="O164" s="82"/>
      <x:c r="P164" s="82"/>
      <x:c r="Q164" s="84" t="str">
        <x:f>IFERROR((COUNTIF(H164:P164,"☑ Implémenté")+COUNTIF(H164:P164,"☑ Oui")+0.5*COUNTIF(H164:P164,"◐ Partiel"))/(COUNTIF(H164:P164,"☑ Implémenté")+COUNTIF(H164:P164,"☑ Oui")+COUNTIF(H164:P164,"◐ Partiel")+COUNTIF(H164:P164,"☐ Non implémenté")+COUNTIF(H164:P164,"☐ Non")),"")</x:f>
      </x:c>
      <x:c r="R164" s="82"/>
      <x:c r="S164" s="82"/>
      <x:c r="T164" s="82"/>
      <x:c r="U164" s="82"/>
      <x:c r="V164" s="84" t="str">
        <x:f>IFERROR((COUNTIF(R164:U164,"☑ Implémenté")+COUNTIF(R164:U164,"☑ Oui")+0.5*COUNTIF(R164:U164,"◐ Partiel"))/(COUNTIF(R164:U164,"☑ Implémenté")+COUNTIF(R164:U164,"☑ Oui")+COUNTIF(R164:U164,"◐ Partiel")+COUNTIF(R164:U164,"☐ Non implémenté")+COUNTIF(R164:U164,"☐ Non")),"")</x:f>
      </x:c>
      <x:c r="W164" s="82"/>
      <x:c r="X164" s="82"/>
      <x:c r="Y164" s="84" t="str">
        <x:f>IFERROR((COUNTIF(W164:X164,"☑ Implémenté")+COUNTIF(W164:X164,"☑ Oui")+0.5*COUNTIF(W164:X164,"◐ Partiel"))/(COUNTIF(W164:X164,"☑ Implémenté")+COUNTIF(W164:X164,"☑ Oui")+COUNTIF(W164:X164,"◐ Partiel")+COUNTIF(W164:X164,"☐ Non implémenté")+COUNTIF(W164:X164,"☐ Non")),"")</x:f>
      </x:c>
      <x:c r="Z164" s="82"/>
      <x:c r="AA164" s="82"/>
      <x:c r="AB164" s="82"/>
      <x:c r="AC164" s="82"/>
      <x:c r="AD164" s="82"/>
      <x:c r="AE164" s="82"/>
      <x:c r="AF164" s="82"/>
      <x:c r="AG164" s="84"/>
      <x:c r="AH164" s="82"/>
      <x:c r="AI164" s="82"/>
      <x:c r="AJ164" s="82"/>
      <x:c r="AK164" s="82"/>
      <x:c r="AL164" s="82"/>
      <x:c r="AM164" s="82"/>
      <x:c r="AN164" s="82"/>
      <x:c r="AO164" s="82"/>
      <x:c r="AP164" s="82"/>
      <x:c r="AQ164" s="82"/>
      <x:c r="AR164" s="82"/>
      <x:c r="AS164" s="82"/>
      <x:c r="AT164" s="82"/>
      <x:c r="AU164" s="82"/>
      <x:c r="AV164" s="82"/>
      <x:c r="AW164" s="82"/>
      <x:c r="AX164" s="82"/>
      <x:c r="AY164" s="82"/>
      <x:c r="AZ164" s="82"/>
      <x:c r="BA164" s="82"/>
      <x:c r="BB164" s="82"/>
      <x:c r="BC164" s="82"/>
      <x:c r="BD164" s="84" t="str">
        <x:f>IFERROR((COUNTIF(AZ164:BC164,"☑ Implémenté")+COUNTIF(AZ164:BC164,"☑ Oui")+0.5*COUNTIF(AZ164:BC164,"◐ Partiel"))/(COUNTIF(AZ164:BC164,"☑ Implémenté")+COUNTIF(AZ164:BC164,"☑ Oui")+COUNTIF(AZ164:BC164,"◐ Partiel")+COUNTIF(AZ164:BC164,"☐ Non implémenté")+COUNTIF(AZ164:BC164,"☐ Non")),"")</x:f>
      </x:c>
      <x:c r="BE164" s="84" t="str">
        <x:f>IFERROR((COUNTIF(H164:BD164,"☑ Implémenté")+COUNTIF(H164:BD164,"☑ Oui")+COUNTIF(H164:BD164,"DevOpsFundation")+0.5*COUNTIF(H164:BD164,"◐ Partiel"))/(COUNTIF(H164:BD164,"☑ Implémenté")+COUNTIF(H164:BD164,"☑ Oui")+COUNTIF(H164:BD164,"DevOpsFundation")+COUNTIF(H164:BD164,"◐ Partiel")+COUNTIF(H164:BD164,"☐ Non implémenté")+COUNTIF(H164:BD164,"☐ Non")),"")</x:f>
      </x:c>
      <x:c r="BF164" s="82" t="str">
        <x:f>IF(B164="","",COUNTIF(H164:BD164,"☐ Non implémenté")+COUNTIF(H164:BD164,"☐ Non")+COUNTIF(H164:BD164,"◐ Partiel"))</x:f>
      </x:c>
      <x:c r="BG164" s="82"/>
    </x:row>
    <x:row r="165">
      <x:c r="A165" s="82"/>
      <x:c r="B165" s="82"/>
      <x:c r="C165" s="82"/>
      <x:c r="D165" s="82"/>
      <x:c r="E165" s="82"/>
      <x:c r="F165" s="82"/>
      <x:c r="G165" s="82"/>
      <x:c r="H165" s="82"/>
      <x:c r="I165" s="82"/>
      <x:c r="J165" s="82"/>
      <x:c r="K165" s="82"/>
      <x:c r="L165" s="82"/>
      <x:c r="M165" s="82"/>
      <x:c r="N165" s="82"/>
      <x:c r="O165" s="82"/>
      <x:c r="P165" s="82"/>
      <x:c r="Q165" s="84" t="str">
        <x:f>IFERROR((COUNTIF(H165:P165,"☑ Implémenté")+COUNTIF(H165:P165,"☑ Oui")+0.5*COUNTIF(H165:P165,"◐ Partiel"))/(COUNTIF(H165:P165,"☑ Implémenté")+COUNTIF(H165:P165,"☑ Oui")+COUNTIF(H165:P165,"◐ Partiel")+COUNTIF(H165:P165,"☐ Non implémenté")+COUNTIF(H165:P165,"☐ Non")),"")</x:f>
      </x:c>
      <x:c r="R165" s="82"/>
      <x:c r="S165" s="82"/>
      <x:c r="T165" s="82"/>
      <x:c r="U165" s="82"/>
      <x:c r="V165" s="84" t="str">
        <x:f>IFERROR((COUNTIF(R165:U165,"☑ Implémenté")+COUNTIF(R165:U165,"☑ Oui")+0.5*COUNTIF(R165:U165,"◐ Partiel"))/(COUNTIF(R165:U165,"☑ Implémenté")+COUNTIF(R165:U165,"☑ Oui")+COUNTIF(R165:U165,"◐ Partiel")+COUNTIF(R165:U165,"☐ Non implémenté")+COUNTIF(R165:U165,"☐ Non")),"")</x:f>
      </x:c>
      <x:c r="W165" s="82"/>
      <x:c r="X165" s="82"/>
      <x:c r="Y165" s="84" t="str">
        <x:f>IFERROR((COUNTIF(W165:X165,"☑ Implémenté")+COUNTIF(W165:X165,"☑ Oui")+0.5*COUNTIF(W165:X165,"◐ Partiel"))/(COUNTIF(W165:X165,"☑ Implémenté")+COUNTIF(W165:X165,"☑ Oui")+COUNTIF(W165:X165,"◐ Partiel")+COUNTIF(W165:X165,"☐ Non implémenté")+COUNTIF(W165:X165,"☐ Non")),"")</x:f>
      </x:c>
      <x:c r="Z165" s="82"/>
      <x:c r="AA165" s="82"/>
      <x:c r="AB165" s="82"/>
      <x:c r="AC165" s="82"/>
      <x:c r="AD165" s="82"/>
      <x:c r="AE165" s="82"/>
      <x:c r="AF165" s="82"/>
      <x:c r="AG165" s="84"/>
      <x:c r="AH165" s="82"/>
      <x:c r="AI165" s="82"/>
      <x:c r="AJ165" s="82"/>
      <x:c r="AK165" s="82"/>
      <x:c r="AL165" s="82"/>
      <x:c r="AM165" s="82"/>
      <x:c r="AN165" s="82"/>
      <x:c r="AO165" s="82"/>
      <x:c r="AP165" s="82"/>
      <x:c r="AQ165" s="82"/>
      <x:c r="AR165" s="82"/>
      <x:c r="AS165" s="82"/>
      <x:c r="AT165" s="82"/>
      <x:c r="AU165" s="82"/>
      <x:c r="AV165" s="82"/>
      <x:c r="AW165" s="82"/>
      <x:c r="AX165" s="82"/>
      <x:c r="AY165" s="82"/>
      <x:c r="AZ165" s="82"/>
      <x:c r="BA165" s="82"/>
      <x:c r="BB165" s="82"/>
      <x:c r="BC165" s="82"/>
      <x:c r="BD165" s="84" t="str">
        <x:f>IFERROR((COUNTIF(AZ165:BC165,"☑ Implémenté")+COUNTIF(AZ165:BC165,"☑ Oui")+0.5*COUNTIF(AZ165:BC165,"◐ Partiel"))/(COUNTIF(AZ165:BC165,"☑ Implémenté")+COUNTIF(AZ165:BC165,"☑ Oui")+COUNTIF(AZ165:BC165,"◐ Partiel")+COUNTIF(AZ165:BC165,"☐ Non implémenté")+COUNTIF(AZ165:BC165,"☐ Non")),"")</x:f>
      </x:c>
      <x:c r="BE165" s="84" t="str">
        <x:f>IFERROR((COUNTIF(H165:BD165,"☑ Implémenté")+COUNTIF(H165:BD165,"☑ Oui")+COUNTIF(H165:BD165,"DevOpsFundation")+0.5*COUNTIF(H165:BD165,"◐ Partiel"))/(COUNTIF(H165:BD165,"☑ Implémenté")+COUNTIF(H165:BD165,"☑ Oui")+COUNTIF(H165:BD165,"DevOpsFundation")+COUNTIF(H165:BD165,"◐ Partiel")+COUNTIF(H165:BD165,"☐ Non implémenté")+COUNTIF(H165:BD165,"☐ Non")),"")</x:f>
      </x:c>
      <x:c r="BF165" s="82" t="str">
        <x:f>IF(B165="","",COUNTIF(H165:BD165,"☐ Non implémenté")+COUNTIF(H165:BD165,"☐ Non")+COUNTIF(H165:BD165,"◐ Partiel"))</x:f>
      </x:c>
      <x:c r="BG165" s="82"/>
    </x:row>
    <x:row r="166">
      <x:c r="A166" s="82"/>
      <x:c r="B166" s="82"/>
      <x:c r="C166" s="82"/>
      <x:c r="D166" s="82"/>
      <x:c r="E166" s="82"/>
      <x:c r="F166" s="82"/>
      <x:c r="G166" s="82"/>
      <x:c r="H166" s="82"/>
      <x:c r="I166" s="82"/>
      <x:c r="J166" s="82"/>
      <x:c r="K166" s="82"/>
      <x:c r="L166" s="82"/>
      <x:c r="M166" s="82"/>
      <x:c r="N166" s="82"/>
      <x:c r="O166" s="82"/>
      <x:c r="P166" s="82"/>
      <x:c r="Q166" s="84" t="str">
        <x:f>IFERROR((COUNTIF(H166:P166,"☑ Implémenté")+COUNTIF(H166:P166,"☑ Oui")+0.5*COUNTIF(H166:P166,"◐ Partiel"))/(COUNTIF(H166:P166,"☑ Implémenté")+COUNTIF(H166:P166,"☑ Oui")+COUNTIF(H166:P166,"◐ Partiel")+COUNTIF(H166:P166,"☐ Non implémenté")+COUNTIF(H166:P166,"☐ Non")),"")</x:f>
      </x:c>
      <x:c r="R166" s="82"/>
      <x:c r="S166" s="82"/>
      <x:c r="T166" s="82"/>
      <x:c r="U166" s="82"/>
      <x:c r="V166" s="84" t="str">
        <x:f>IFERROR((COUNTIF(R166:U166,"☑ Implémenté")+COUNTIF(R166:U166,"☑ Oui")+0.5*COUNTIF(R166:U166,"◐ Partiel"))/(COUNTIF(R166:U166,"☑ Implémenté")+COUNTIF(R166:U166,"☑ Oui")+COUNTIF(R166:U166,"◐ Partiel")+COUNTIF(R166:U166,"☐ Non implémenté")+COUNTIF(R166:U166,"☐ Non")),"")</x:f>
      </x:c>
      <x:c r="W166" s="82"/>
      <x:c r="X166" s="82"/>
      <x:c r="Y166" s="84" t="str">
        <x:f>IFERROR((COUNTIF(W166:X166,"☑ Implémenté")+COUNTIF(W166:X166,"☑ Oui")+0.5*COUNTIF(W166:X166,"◐ Partiel"))/(COUNTIF(W166:X166,"☑ Implémenté")+COUNTIF(W166:X166,"☑ Oui")+COUNTIF(W166:X166,"◐ Partiel")+COUNTIF(W166:X166,"☐ Non implémenté")+COUNTIF(W166:X166,"☐ Non")),"")</x:f>
      </x:c>
      <x:c r="Z166" s="82"/>
      <x:c r="AA166" s="82"/>
      <x:c r="AB166" s="82"/>
      <x:c r="AC166" s="82"/>
      <x:c r="AD166" s="82"/>
      <x:c r="AE166" s="82"/>
      <x:c r="AF166" s="82"/>
      <x:c r="AG166" s="84"/>
      <x:c r="AH166" s="82"/>
      <x:c r="AI166" s="82"/>
      <x:c r="AJ166" s="82"/>
      <x:c r="AK166" s="82"/>
      <x:c r="AL166" s="82"/>
      <x:c r="AM166" s="82"/>
      <x:c r="AN166" s="82"/>
      <x:c r="AO166" s="82"/>
      <x:c r="AP166" s="82"/>
      <x:c r="AQ166" s="82"/>
      <x:c r="AR166" s="82"/>
      <x:c r="AS166" s="82"/>
      <x:c r="AT166" s="82"/>
      <x:c r="AU166" s="82"/>
      <x:c r="AV166" s="82"/>
      <x:c r="AW166" s="82"/>
      <x:c r="AX166" s="82"/>
      <x:c r="AY166" s="82"/>
      <x:c r="AZ166" s="82"/>
      <x:c r="BA166" s="82"/>
      <x:c r="BB166" s="82"/>
      <x:c r="BC166" s="82"/>
      <x:c r="BD166" s="84" t="str">
        <x:f>IFERROR((COUNTIF(AZ166:BC166,"☑ Implémenté")+COUNTIF(AZ166:BC166,"☑ Oui")+0.5*COUNTIF(AZ166:BC166,"◐ Partiel"))/(COUNTIF(AZ166:BC166,"☑ Implémenté")+COUNTIF(AZ166:BC166,"☑ Oui")+COUNTIF(AZ166:BC166,"◐ Partiel")+COUNTIF(AZ166:BC166,"☐ Non implémenté")+COUNTIF(AZ166:BC166,"☐ Non")),"")</x:f>
      </x:c>
      <x:c r="BE166" s="84" t="str">
        <x:f>IFERROR((COUNTIF(H166:BD166,"☑ Implémenté")+COUNTIF(H166:BD166,"☑ Oui")+COUNTIF(H166:BD166,"DevOpsFundation")+0.5*COUNTIF(H166:BD166,"◐ Partiel"))/(COUNTIF(H166:BD166,"☑ Implémenté")+COUNTIF(H166:BD166,"☑ Oui")+COUNTIF(H166:BD166,"DevOpsFundation")+COUNTIF(H166:BD166,"◐ Partiel")+COUNTIF(H166:BD166,"☐ Non implémenté")+COUNTIF(H166:BD166,"☐ Non")),"")</x:f>
      </x:c>
      <x:c r="BF166" s="82" t="str">
        <x:f>IF(B166="","",COUNTIF(H166:BD166,"☐ Non implémenté")+COUNTIF(H166:BD166,"☐ Non")+COUNTIF(H166:BD166,"◐ Partiel"))</x:f>
      </x:c>
      <x:c r="BG166" s="82"/>
    </x:row>
    <x:row r="167">
      <x:c r="A167" s="82"/>
      <x:c r="B167" s="82"/>
      <x:c r="C167" s="82"/>
      <x:c r="D167" s="82"/>
      <x:c r="E167" s="82"/>
      <x:c r="F167" s="82"/>
      <x:c r="G167" s="82"/>
      <x:c r="H167" s="82"/>
      <x:c r="I167" s="82"/>
      <x:c r="J167" s="82"/>
      <x:c r="K167" s="82"/>
      <x:c r="L167" s="82"/>
      <x:c r="M167" s="82"/>
      <x:c r="N167" s="82"/>
      <x:c r="O167" s="82"/>
      <x:c r="P167" s="82"/>
      <x:c r="Q167" s="84" t="str">
        <x:f>IFERROR((COUNTIF(H167:P167,"☑ Implémenté")+COUNTIF(H167:P167,"☑ Oui")+0.5*COUNTIF(H167:P167,"◐ Partiel"))/(COUNTIF(H167:P167,"☑ Implémenté")+COUNTIF(H167:P167,"☑ Oui")+COUNTIF(H167:P167,"◐ Partiel")+COUNTIF(H167:P167,"☐ Non implémenté")+COUNTIF(H167:P167,"☐ Non")),"")</x:f>
      </x:c>
      <x:c r="R167" s="82"/>
      <x:c r="S167" s="82"/>
      <x:c r="T167" s="82"/>
      <x:c r="U167" s="82"/>
      <x:c r="V167" s="84" t="str">
        <x:f>IFERROR((COUNTIF(R167:U167,"☑ Implémenté")+COUNTIF(R167:U167,"☑ Oui")+0.5*COUNTIF(R167:U167,"◐ Partiel"))/(COUNTIF(R167:U167,"☑ Implémenté")+COUNTIF(R167:U167,"☑ Oui")+COUNTIF(R167:U167,"◐ Partiel")+COUNTIF(R167:U167,"☐ Non implémenté")+COUNTIF(R167:U167,"☐ Non")),"")</x:f>
      </x:c>
      <x:c r="W167" s="82"/>
      <x:c r="X167" s="82"/>
      <x:c r="Y167" s="84" t="str">
        <x:f>IFERROR((COUNTIF(W167:X167,"☑ Implémenté")+COUNTIF(W167:X167,"☑ Oui")+0.5*COUNTIF(W167:X167,"◐ Partiel"))/(COUNTIF(W167:X167,"☑ Implémenté")+COUNTIF(W167:X167,"☑ Oui")+COUNTIF(W167:X167,"◐ Partiel")+COUNTIF(W167:X167,"☐ Non implémenté")+COUNTIF(W167:X167,"☐ Non")),"")</x:f>
      </x:c>
      <x:c r="Z167" s="82"/>
      <x:c r="AA167" s="82"/>
      <x:c r="AB167" s="82"/>
      <x:c r="AC167" s="82"/>
      <x:c r="AD167" s="82"/>
      <x:c r="AE167" s="82"/>
      <x:c r="AF167" s="82"/>
      <x:c r="AG167" s="84"/>
      <x:c r="AH167" s="82"/>
      <x:c r="AI167" s="82"/>
      <x:c r="AJ167" s="82"/>
      <x:c r="AK167" s="82"/>
      <x:c r="AL167" s="82"/>
      <x:c r="AM167" s="82"/>
      <x:c r="AN167" s="82"/>
      <x:c r="AO167" s="82"/>
      <x:c r="AP167" s="82"/>
      <x:c r="AQ167" s="82"/>
      <x:c r="AR167" s="82"/>
      <x:c r="AS167" s="82"/>
      <x:c r="AT167" s="82"/>
      <x:c r="AU167" s="82"/>
      <x:c r="AV167" s="82"/>
      <x:c r="AW167" s="82"/>
      <x:c r="AX167" s="82"/>
      <x:c r="AY167" s="82"/>
      <x:c r="AZ167" s="82"/>
      <x:c r="BA167" s="82"/>
      <x:c r="BB167" s="82"/>
      <x:c r="BC167" s="82"/>
      <x:c r="BD167" s="84" t="str">
        <x:f>IFERROR((COUNTIF(AZ167:BC167,"☑ Implémenté")+COUNTIF(AZ167:BC167,"☑ Oui")+0.5*COUNTIF(AZ167:BC167,"◐ Partiel"))/(COUNTIF(AZ167:BC167,"☑ Implémenté")+COUNTIF(AZ167:BC167,"☑ Oui")+COUNTIF(AZ167:BC167,"◐ Partiel")+COUNTIF(AZ167:BC167,"☐ Non implémenté")+COUNTIF(AZ167:BC167,"☐ Non")),"")</x:f>
      </x:c>
      <x:c r="BE167" s="84" t="str">
        <x:f>IFERROR((COUNTIF(H167:BD167,"☑ Implémenté")+COUNTIF(H167:BD167,"☑ Oui")+COUNTIF(H167:BD167,"DevOpsFundation")+0.5*COUNTIF(H167:BD167,"◐ Partiel"))/(COUNTIF(H167:BD167,"☑ Implémenté")+COUNTIF(H167:BD167,"☑ Oui")+COUNTIF(H167:BD167,"DevOpsFundation")+COUNTIF(H167:BD167,"◐ Partiel")+COUNTIF(H167:BD167,"☐ Non implémenté")+COUNTIF(H167:BD167,"☐ Non")),"")</x:f>
      </x:c>
      <x:c r="BF167" s="82" t="str">
        <x:f>IF(B167="","",COUNTIF(H167:BD167,"☐ Non implémenté")+COUNTIF(H167:BD167,"☐ Non")+COUNTIF(H167:BD167,"◐ Partiel"))</x:f>
      </x:c>
      <x:c r="BG167" s="82"/>
    </x:row>
    <x:row r="168">
      <x:c r="A168" s="82"/>
      <x:c r="B168" s="82"/>
      <x:c r="C168" s="82"/>
      <x:c r="D168" s="82"/>
      <x:c r="E168" s="82"/>
      <x:c r="F168" s="82"/>
      <x:c r="G168" s="82"/>
      <x:c r="H168" s="82"/>
      <x:c r="I168" s="82"/>
      <x:c r="J168" s="82"/>
      <x:c r="K168" s="82"/>
      <x:c r="L168" s="82"/>
      <x:c r="M168" s="82"/>
      <x:c r="N168" s="82"/>
      <x:c r="O168" s="82"/>
      <x:c r="P168" s="82"/>
      <x:c r="Q168" s="84" t="str">
        <x:f>IFERROR((COUNTIF(H168:P168,"☑ Implémenté")+COUNTIF(H168:P168,"☑ Oui")+0.5*COUNTIF(H168:P168,"◐ Partiel"))/(COUNTIF(H168:P168,"☑ Implémenté")+COUNTIF(H168:P168,"☑ Oui")+COUNTIF(H168:P168,"◐ Partiel")+COUNTIF(H168:P168,"☐ Non implémenté")+COUNTIF(H168:P168,"☐ Non")),"")</x:f>
      </x:c>
      <x:c r="R168" s="82"/>
      <x:c r="S168" s="82"/>
      <x:c r="T168" s="82"/>
      <x:c r="U168" s="82"/>
      <x:c r="V168" s="84" t="str">
        <x:f>IFERROR((COUNTIF(R168:U168,"☑ Implémenté")+COUNTIF(R168:U168,"☑ Oui")+0.5*COUNTIF(R168:U168,"◐ Partiel"))/(COUNTIF(R168:U168,"☑ Implémenté")+COUNTIF(R168:U168,"☑ Oui")+COUNTIF(R168:U168,"◐ Partiel")+COUNTIF(R168:U168,"☐ Non implémenté")+COUNTIF(R168:U168,"☐ Non")),"")</x:f>
      </x:c>
      <x:c r="W168" s="82"/>
      <x:c r="X168" s="82"/>
      <x:c r="Y168" s="84" t="str">
        <x:f>IFERROR((COUNTIF(W168:X168,"☑ Implémenté")+COUNTIF(W168:X168,"☑ Oui")+0.5*COUNTIF(W168:X168,"◐ Partiel"))/(COUNTIF(W168:X168,"☑ Implémenté")+COUNTIF(W168:X168,"☑ Oui")+COUNTIF(W168:X168,"◐ Partiel")+COUNTIF(W168:X168,"☐ Non implémenté")+COUNTIF(W168:X168,"☐ Non")),"")</x:f>
      </x:c>
      <x:c r="Z168" s="82"/>
      <x:c r="AA168" s="82"/>
      <x:c r="AB168" s="82"/>
      <x:c r="AC168" s="82"/>
      <x:c r="AD168" s="82"/>
      <x:c r="AE168" s="82"/>
      <x:c r="AF168" s="82"/>
      <x:c r="AG168" s="84"/>
      <x:c r="AH168" s="82"/>
      <x:c r="AI168" s="82"/>
      <x:c r="AJ168" s="82"/>
      <x:c r="AK168" s="82"/>
      <x:c r="AL168" s="82"/>
      <x:c r="AM168" s="82"/>
      <x:c r="AN168" s="82"/>
      <x:c r="AO168" s="82"/>
      <x:c r="AP168" s="82"/>
      <x:c r="AQ168" s="82"/>
      <x:c r="AR168" s="82"/>
      <x:c r="AS168" s="82"/>
      <x:c r="AT168" s="82"/>
      <x:c r="AU168" s="82"/>
      <x:c r="AV168" s="82"/>
      <x:c r="AW168" s="82"/>
      <x:c r="AX168" s="82"/>
      <x:c r="AY168" s="82"/>
      <x:c r="AZ168" s="82"/>
      <x:c r="BA168" s="82"/>
      <x:c r="BB168" s="82"/>
      <x:c r="BC168" s="82"/>
      <x:c r="BD168" s="84" t="str">
        <x:f>IFERROR((COUNTIF(AZ168:BC168,"☑ Implémenté")+COUNTIF(AZ168:BC168,"☑ Oui")+0.5*COUNTIF(AZ168:BC168,"◐ Partiel"))/(COUNTIF(AZ168:BC168,"☑ Implémenté")+COUNTIF(AZ168:BC168,"☑ Oui")+COUNTIF(AZ168:BC168,"◐ Partiel")+COUNTIF(AZ168:BC168,"☐ Non implémenté")+COUNTIF(AZ168:BC168,"☐ Non")),"")</x:f>
      </x:c>
      <x:c r="BE168" s="84" t="str">
        <x:f>IFERROR((COUNTIF(H168:BD168,"☑ Implémenté")+COUNTIF(H168:BD168,"☑ Oui")+COUNTIF(H168:BD168,"DevOpsFundation")+0.5*COUNTIF(H168:BD168,"◐ Partiel"))/(COUNTIF(H168:BD168,"☑ Implémenté")+COUNTIF(H168:BD168,"☑ Oui")+COUNTIF(H168:BD168,"DevOpsFundation")+COUNTIF(H168:BD168,"◐ Partiel")+COUNTIF(H168:BD168,"☐ Non implémenté")+COUNTIF(H168:BD168,"☐ Non")),"")</x:f>
      </x:c>
      <x:c r="BF168" s="82" t="str">
        <x:f>IF(B168="","",COUNTIF(H168:BD168,"☐ Non implémenté")+COUNTIF(H168:BD168,"☐ Non")+COUNTIF(H168:BD168,"◐ Partiel"))</x:f>
      </x:c>
      <x:c r="BG168" s="82"/>
    </x:row>
    <x:row r="169">
      <x:c r="A169" s="82"/>
      <x:c r="B169" s="82"/>
      <x:c r="C169" s="82"/>
      <x:c r="D169" s="82"/>
      <x:c r="E169" s="82"/>
      <x:c r="F169" s="82"/>
      <x:c r="G169" s="82"/>
      <x:c r="H169" s="82"/>
      <x:c r="I169" s="82"/>
      <x:c r="J169" s="82"/>
      <x:c r="K169" s="82"/>
      <x:c r="L169" s="82"/>
      <x:c r="M169" s="82"/>
      <x:c r="N169" s="82"/>
      <x:c r="O169" s="82"/>
      <x:c r="P169" s="82"/>
      <x:c r="Q169" s="84" t="str">
        <x:f>IFERROR((COUNTIF(H169:P169,"☑ Implémenté")+COUNTIF(H169:P169,"☑ Oui")+0.5*COUNTIF(H169:P169,"◐ Partiel"))/(COUNTIF(H169:P169,"☑ Implémenté")+COUNTIF(H169:P169,"☑ Oui")+COUNTIF(H169:P169,"◐ Partiel")+COUNTIF(H169:P169,"☐ Non implémenté")+COUNTIF(H169:P169,"☐ Non")),"")</x:f>
      </x:c>
      <x:c r="R169" s="82"/>
      <x:c r="S169" s="82"/>
      <x:c r="T169" s="82"/>
      <x:c r="U169" s="82"/>
      <x:c r="V169" s="84" t="str">
        <x:f>IFERROR((COUNTIF(R169:U169,"☑ Implémenté")+COUNTIF(R169:U169,"☑ Oui")+0.5*COUNTIF(R169:U169,"◐ Partiel"))/(COUNTIF(R169:U169,"☑ Implémenté")+COUNTIF(R169:U169,"☑ Oui")+COUNTIF(R169:U169,"◐ Partiel")+COUNTIF(R169:U169,"☐ Non implémenté")+COUNTIF(R169:U169,"☐ Non")),"")</x:f>
      </x:c>
      <x:c r="W169" s="82"/>
      <x:c r="X169" s="82"/>
      <x:c r="Y169" s="84" t="str">
        <x:f>IFERROR((COUNTIF(W169:X169,"☑ Implémenté")+COUNTIF(W169:X169,"☑ Oui")+0.5*COUNTIF(W169:X169,"◐ Partiel"))/(COUNTIF(W169:X169,"☑ Implémenté")+COUNTIF(W169:X169,"☑ Oui")+COUNTIF(W169:X169,"◐ Partiel")+COUNTIF(W169:X169,"☐ Non implémenté")+COUNTIF(W169:X169,"☐ Non")),"")</x:f>
      </x:c>
      <x:c r="Z169" s="82"/>
      <x:c r="AA169" s="82"/>
      <x:c r="AB169" s="82"/>
      <x:c r="AC169" s="82"/>
      <x:c r="AD169" s="82"/>
      <x:c r="AE169" s="82"/>
      <x:c r="AF169" s="82"/>
      <x:c r="AG169" s="84"/>
      <x:c r="AH169" s="82"/>
      <x:c r="AI169" s="82"/>
      <x:c r="AJ169" s="82"/>
      <x:c r="AK169" s="82"/>
      <x:c r="AL169" s="82"/>
      <x:c r="AM169" s="82"/>
      <x:c r="AN169" s="82"/>
      <x:c r="AO169" s="82"/>
      <x:c r="AP169" s="82"/>
      <x:c r="AQ169" s="82"/>
      <x:c r="AR169" s="82"/>
      <x:c r="AS169" s="82"/>
      <x:c r="AT169" s="82"/>
      <x:c r="AU169" s="82"/>
      <x:c r="AV169" s="82"/>
      <x:c r="AW169" s="82"/>
      <x:c r="AX169" s="82"/>
      <x:c r="AY169" s="82"/>
      <x:c r="AZ169" s="82"/>
      <x:c r="BA169" s="82"/>
      <x:c r="BB169" s="82"/>
      <x:c r="BC169" s="82"/>
      <x:c r="BD169" s="84" t="str">
        <x:f>IFERROR((COUNTIF(AZ169:BC169,"☑ Implémenté")+COUNTIF(AZ169:BC169,"☑ Oui")+0.5*COUNTIF(AZ169:BC169,"◐ Partiel"))/(COUNTIF(AZ169:BC169,"☑ Implémenté")+COUNTIF(AZ169:BC169,"☑ Oui")+COUNTIF(AZ169:BC169,"◐ Partiel")+COUNTIF(AZ169:BC169,"☐ Non implémenté")+COUNTIF(AZ169:BC169,"☐ Non")),"")</x:f>
      </x:c>
      <x:c r="BE169" s="84" t="str">
        <x:f>IFERROR((COUNTIF(H169:BD169,"☑ Implémenté")+COUNTIF(H169:BD169,"☑ Oui")+COUNTIF(H169:BD169,"DevOpsFundation")+0.5*COUNTIF(H169:BD169,"◐ Partiel"))/(COUNTIF(H169:BD169,"☑ Implémenté")+COUNTIF(H169:BD169,"☑ Oui")+COUNTIF(H169:BD169,"DevOpsFundation")+COUNTIF(H169:BD169,"◐ Partiel")+COUNTIF(H169:BD169,"☐ Non implémenté")+COUNTIF(H169:BD169,"☐ Non")),"")</x:f>
      </x:c>
      <x:c r="BF169" s="82" t="str">
        <x:f>IF(B169="","",COUNTIF(H169:BD169,"☐ Non implémenté")+COUNTIF(H169:BD169,"☐ Non")+COUNTIF(H169:BD169,"◐ Partiel"))</x:f>
      </x:c>
      <x:c r="BG169" s="82"/>
    </x:row>
    <x:row r="170">
      <x:c r="A170" s="82"/>
      <x:c r="B170" s="82"/>
      <x:c r="C170" s="82"/>
      <x:c r="D170" s="82"/>
      <x:c r="E170" s="82"/>
      <x:c r="F170" s="82"/>
      <x:c r="G170" s="82"/>
      <x:c r="H170" s="82"/>
      <x:c r="I170" s="82"/>
      <x:c r="J170" s="82"/>
      <x:c r="K170" s="82"/>
      <x:c r="L170" s="82"/>
      <x:c r="M170" s="82"/>
      <x:c r="N170" s="82"/>
      <x:c r="O170" s="82"/>
      <x:c r="P170" s="82"/>
      <x:c r="Q170" s="84" t="str">
        <x:f>IFERROR((COUNTIF(H170:P170,"☑ Implémenté")+COUNTIF(H170:P170,"☑ Oui")+0.5*COUNTIF(H170:P170,"◐ Partiel"))/(COUNTIF(H170:P170,"☑ Implémenté")+COUNTIF(H170:P170,"☑ Oui")+COUNTIF(H170:P170,"◐ Partiel")+COUNTIF(H170:P170,"☐ Non implémenté")+COUNTIF(H170:P170,"☐ Non")),"")</x:f>
      </x:c>
      <x:c r="R170" s="82"/>
      <x:c r="S170" s="82"/>
      <x:c r="T170" s="82"/>
      <x:c r="U170" s="82"/>
      <x:c r="V170" s="84" t="str">
        <x:f>IFERROR((COUNTIF(R170:U170,"☑ Implémenté")+COUNTIF(R170:U170,"☑ Oui")+0.5*COUNTIF(R170:U170,"◐ Partiel"))/(COUNTIF(R170:U170,"☑ Implémenté")+COUNTIF(R170:U170,"☑ Oui")+COUNTIF(R170:U170,"◐ Partiel")+COUNTIF(R170:U170,"☐ Non implémenté")+COUNTIF(R170:U170,"☐ Non")),"")</x:f>
      </x:c>
      <x:c r="W170" s="82"/>
      <x:c r="X170" s="82"/>
      <x:c r="Y170" s="84" t="str">
        <x:f>IFERROR((COUNTIF(W170:X170,"☑ Implémenté")+COUNTIF(W170:X170,"☑ Oui")+0.5*COUNTIF(W170:X170,"◐ Partiel"))/(COUNTIF(W170:X170,"☑ Implémenté")+COUNTIF(W170:X170,"☑ Oui")+COUNTIF(W170:X170,"◐ Partiel")+COUNTIF(W170:X170,"☐ Non implémenté")+COUNTIF(W170:X170,"☐ Non")),"")</x:f>
      </x:c>
      <x:c r="Z170" s="82"/>
      <x:c r="AA170" s="82"/>
      <x:c r="AB170" s="82"/>
      <x:c r="AC170" s="82"/>
      <x:c r="AD170" s="82"/>
      <x:c r="AE170" s="82"/>
      <x:c r="AF170" s="82"/>
      <x:c r="AG170" s="84"/>
      <x:c r="AH170" s="82"/>
      <x:c r="AI170" s="82"/>
      <x:c r="AJ170" s="82"/>
      <x:c r="AK170" s="82"/>
      <x:c r="AL170" s="82"/>
      <x:c r="AM170" s="82"/>
      <x:c r="AN170" s="82"/>
      <x:c r="AO170" s="82"/>
      <x:c r="AP170" s="82"/>
      <x:c r="AQ170" s="82"/>
      <x:c r="AR170" s="82"/>
      <x:c r="AS170" s="82"/>
      <x:c r="AT170" s="82"/>
      <x:c r="AU170" s="82"/>
      <x:c r="AV170" s="82"/>
      <x:c r="AW170" s="82"/>
      <x:c r="AX170" s="82"/>
      <x:c r="AY170" s="82"/>
      <x:c r="AZ170" s="82"/>
      <x:c r="BA170" s="82"/>
      <x:c r="BB170" s="82"/>
      <x:c r="BC170" s="82"/>
      <x:c r="BD170" s="84" t="str">
        <x:f>IFERROR((COUNTIF(AZ170:BC170,"☑ Implémenté")+COUNTIF(AZ170:BC170,"☑ Oui")+0.5*COUNTIF(AZ170:BC170,"◐ Partiel"))/(COUNTIF(AZ170:BC170,"☑ Implémenté")+COUNTIF(AZ170:BC170,"☑ Oui")+COUNTIF(AZ170:BC170,"◐ Partiel")+COUNTIF(AZ170:BC170,"☐ Non implémenté")+COUNTIF(AZ170:BC170,"☐ Non")),"")</x:f>
      </x:c>
      <x:c r="BE170" s="84" t="str">
        <x:f>IFERROR((COUNTIF(H170:BD170,"☑ Implémenté")+COUNTIF(H170:BD170,"☑ Oui")+COUNTIF(H170:BD170,"DevOpsFundation")+0.5*COUNTIF(H170:BD170,"◐ Partiel"))/(COUNTIF(H170:BD170,"☑ Implémenté")+COUNTIF(H170:BD170,"☑ Oui")+COUNTIF(H170:BD170,"DevOpsFundation")+COUNTIF(H170:BD170,"◐ Partiel")+COUNTIF(H170:BD170,"☐ Non implémenté")+COUNTIF(H170:BD170,"☐ Non")),"")</x:f>
      </x:c>
      <x:c r="BF170" s="82" t="str">
        <x:f>IF(B170="","",COUNTIF(H170:BD170,"☐ Non implémenté")+COUNTIF(H170:BD170,"☐ Non")+COUNTIF(H170:BD170,"◐ Partiel"))</x:f>
      </x:c>
      <x:c r="BG170" s="82"/>
    </x:row>
    <x:row r="171">
      <x:c r="A171" s="82"/>
      <x:c r="B171" s="82"/>
      <x:c r="C171" s="82"/>
      <x:c r="D171" s="82"/>
      <x:c r="E171" s="82"/>
      <x:c r="F171" s="82"/>
      <x:c r="G171" s="82"/>
      <x:c r="H171" s="82"/>
      <x:c r="I171" s="82"/>
      <x:c r="J171" s="82"/>
      <x:c r="K171" s="82"/>
      <x:c r="L171" s="82"/>
      <x:c r="M171" s="82"/>
      <x:c r="N171" s="82"/>
      <x:c r="O171" s="82"/>
      <x:c r="P171" s="82"/>
      <x:c r="Q171" s="84" t="str">
        <x:f>IFERROR((COUNTIF(H171:P171,"☑ Implémenté")+COUNTIF(H171:P171,"☑ Oui")+0.5*COUNTIF(H171:P171,"◐ Partiel"))/(COUNTIF(H171:P171,"☑ Implémenté")+COUNTIF(H171:P171,"☑ Oui")+COUNTIF(H171:P171,"◐ Partiel")+COUNTIF(H171:P171,"☐ Non implémenté")+COUNTIF(H171:P171,"☐ Non")),"")</x:f>
      </x:c>
      <x:c r="R171" s="82"/>
      <x:c r="S171" s="82"/>
      <x:c r="T171" s="82"/>
      <x:c r="U171" s="82"/>
      <x:c r="V171" s="84" t="str">
        <x:f>IFERROR((COUNTIF(R171:U171,"☑ Implémenté")+COUNTIF(R171:U171,"☑ Oui")+0.5*COUNTIF(R171:U171,"◐ Partiel"))/(COUNTIF(R171:U171,"☑ Implémenté")+COUNTIF(R171:U171,"☑ Oui")+COUNTIF(R171:U171,"◐ Partiel")+COUNTIF(R171:U171,"☐ Non implémenté")+COUNTIF(R171:U171,"☐ Non")),"")</x:f>
      </x:c>
      <x:c r="W171" s="82"/>
      <x:c r="X171" s="82"/>
      <x:c r="Y171" s="84" t="str">
        <x:f>IFERROR((COUNTIF(W171:X171,"☑ Implémenté")+COUNTIF(W171:X171,"☑ Oui")+0.5*COUNTIF(W171:X171,"◐ Partiel"))/(COUNTIF(W171:X171,"☑ Implémenté")+COUNTIF(W171:X171,"☑ Oui")+COUNTIF(W171:X171,"◐ Partiel")+COUNTIF(W171:X171,"☐ Non implémenté")+COUNTIF(W171:X171,"☐ Non")),"")</x:f>
      </x:c>
      <x:c r="Z171" s="82"/>
      <x:c r="AA171" s="82"/>
      <x:c r="AB171" s="82"/>
      <x:c r="AC171" s="82"/>
      <x:c r="AD171" s="82"/>
      <x:c r="AE171" s="82"/>
      <x:c r="AF171" s="82"/>
      <x:c r="AG171" s="84"/>
      <x:c r="AH171" s="82"/>
      <x:c r="AI171" s="82"/>
      <x:c r="AJ171" s="82"/>
      <x:c r="AK171" s="82"/>
      <x:c r="AL171" s="82"/>
      <x:c r="AM171" s="82"/>
      <x:c r="AN171" s="82"/>
      <x:c r="AO171" s="82"/>
      <x:c r="AP171" s="82"/>
      <x:c r="AQ171" s="82"/>
      <x:c r="AR171" s="82"/>
      <x:c r="AS171" s="82"/>
      <x:c r="AT171" s="82"/>
      <x:c r="AU171" s="82"/>
      <x:c r="AV171" s="82"/>
      <x:c r="AW171" s="82"/>
      <x:c r="AX171" s="82"/>
      <x:c r="AY171" s="82"/>
      <x:c r="AZ171" s="82"/>
      <x:c r="BA171" s="82"/>
      <x:c r="BB171" s="82"/>
      <x:c r="BC171" s="82"/>
      <x:c r="BD171" s="84" t="str">
        <x:f>IFERROR((COUNTIF(AZ171:BC171,"☑ Implémenté")+COUNTIF(AZ171:BC171,"☑ Oui")+0.5*COUNTIF(AZ171:BC171,"◐ Partiel"))/(COUNTIF(AZ171:BC171,"☑ Implémenté")+COUNTIF(AZ171:BC171,"☑ Oui")+COUNTIF(AZ171:BC171,"◐ Partiel")+COUNTIF(AZ171:BC171,"☐ Non implémenté")+COUNTIF(AZ171:BC171,"☐ Non")),"")</x:f>
      </x:c>
      <x:c r="BE171" s="84" t="str">
        <x:f>IFERROR((COUNTIF(H171:BD171,"☑ Implémenté")+COUNTIF(H171:BD171,"☑ Oui")+COUNTIF(H171:BD171,"DevOpsFundation")+0.5*COUNTIF(H171:BD171,"◐ Partiel"))/(COUNTIF(H171:BD171,"☑ Implémenté")+COUNTIF(H171:BD171,"☑ Oui")+COUNTIF(H171:BD171,"DevOpsFundation")+COUNTIF(H171:BD171,"◐ Partiel")+COUNTIF(H171:BD171,"☐ Non implémenté")+COUNTIF(H171:BD171,"☐ Non")),"")</x:f>
      </x:c>
      <x:c r="BF171" s="82" t="str">
        <x:f>IF(B171="","",COUNTIF(H171:BD171,"☐ Non implémenté")+COUNTIF(H171:BD171,"☐ Non")+COUNTIF(H171:BD171,"◐ Partiel"))</x:f>
      </x:c>
      <x:c r="BG171" s="82"/>
    </x:row>
    <x:row r="172">
      <x:c r="A172" s="82"/>
      <x:c r="B172" s="82"/>
      <x:c r="C172" s="82"/>
      <x:c r="D172" s="82"/>
      <x:c r="E172" s="82"/>
      <x:c r="F172" s="82"/>
      <x:c r="G172" s="82"/>
      <x:c r="H172" s="82"/>
      <x:c r="I172" s="82"/>
      <x:c r="J172" s="82"/>
      <x:c r="K172" s="82"/>
      <x:c r="L172" s="82"/>
      <x:c r="M172" s="82"/>
      <x:c r="N172" s="82"/>
      <x:c r="O172" s="82"/>
      <x:c r="P172" s="82"/>
      <x:c r="Q172" s="84" t="str">
        <x:f>IFERROR((COUNTIF(H172:P172,"☑ Implémenté")+COUNTIF(H172:P172,"☑ Oui")+0.5*COUNTIF(H172:P172,"◐ Partiel"))/(COUNTIF(H172:P172,"☑ Implémenté")+COUNTIF(H172:P172,"☑ Oui")+COUNTIF(H172:P172,"◐ Partiel")+COUNTIF(H172:P172,"☐ Non implémenté")+COUNTIF(H172:P172,"☐ Non")),"")</x:f>
      </x:c>
      <x:c r="R172" s="82"/>
      <x:c r="S172" s="82"/>
      <x:c r="T172" s="82"/>
      <x:c r="U172" s="82"/>
      <x:c r="V172" s="84" t="str">
        <x:f>IFERROR((COUNTIF(R172:U172,"☑ Implémenté")+COUNTIF(R172:U172,"☑ Oui")+0.5*COUNTIF(R172:U172,"◐ Partiel"))/(COUNTIF(R172:U172,"☑ Implémenté")+COUNTIF(R172:U172,"☑ Oui")+COUNTIF(R172:U172,"◐ Partiel")+COUNTIF(R172:U172,"☐ Non implémenté")+COUNTIF(R172:U172,"☐ Non")),"")</x:f>
      </x:c>
      <x:c r="W172" s="82"/>
      <x:c r="X172" s="82"/>
      <x:c r="Y172" s="84" t="str">
        <x:f>IFERROR((COUNTIF(W172:X172,"☑ Implémenté")+COUNTIF(W172:X172,"☑ Oui")+0.5*COUNTIF(W172:X172,"◐ Partiel"))/(COUNTIF(W172:X172,"☑ Implémenté")+COUNTIF(W172:X172,"☑ Oui")+COUNTIF(W172:X172,"◐ Partiel")+COUNTIF(W172:X172,"☐ Non implémenté")+COUNTIF(W172:X172,"☐ Non")),"")</x:f>
      </x:c>
      <x:c r="Z172" s="82"/>
      <x:c r="AA172" s="82"/>
      <x:c r="AB172" s="82"/>
      <x:c r="AC172" s="82"/>
      <x:c r="AD172" s="82"/>
      <x:c r="AE172" s="82"/>
      <x:c r="AF172" s="82"/>
      <x:c r="AG172" s="84"/>
      <x:c r="AH172" s="82"/>
      <x:c r="AI172" s="82"/>
      <x:c r="AJ172" s="82"/>
      <x:c r="AK172" s="82"/>
      <x:c r="AL172" s="82"/>
      <x:c r="AM172" s="82"/>
      <x:c r="AN172" s="82"/>
      <x:c r="AO172" s="82"/>
      <x:c r="AP172" s="82"/>
      <x:c r="AQ172" s="82"/>
      <x:c r="AR172" s="82"/>
      <x:c r="AS172" s="82"/>
      <x:c r="AT172" s="82"/>
      <x:c r="AU172" s="82"/>
      <x:c r="AV172" s="82"/>
      <x:c r="AW172" s="82"/>
      <x:c r="AX172" s="82"/>
      <x:c r="AY172" s="82"/>
      <x:c r="AZ172" s="82"/>
      <x:c r="BA172" s="82"/>
      <x:c r="BB172" s="82"/>
      <x:c r="BC172" s="82"/>
      <x:c r="BD172" s="84" t="str">
        <x:f>IFERROR((COUNTIF(AZ172:BC172,"☑ Implémenté")+COUNTIF(AZ172:BC172,"☑ Oui")+0.5*COUNTIF(AZ172:BC172,"◐ Partiel"))/(COUNTIF(AZ172:BC172,"☑ Implémenté")+COUNTIF(AZ172:BC172,"☑ Oui")+COUNTIF(AZ172:BC172,"◐ Partiel")+COUNTIF(AZ172:BC172,"☐ Non implémenté")+COUNTIF(AZ172:BC172,"☐ Non")),"")</x:f>
      </x:c>
      <x:c r="BE172" s="84" t="str">
        <x:f>IFERROR((COUNTIF(H172:BD172,"☑ Implémenté")+COUNTIF(H172:BD172,"☑ Oui")+COUNTIF(H172:BD172,"DevOpsFundation")+0.5*COUNTIF(H172:BD172,"◐ Partiel"))/(COUNTIF(H172:BD172,"☑ Implémenté")+COUNTIF(H172:BD172,"☑ Oui")+COUNTIF(H172:BD172,"DevOpsFundation")+COUNTIF(H172:BD172,"◐ Partiel")+COUNTIF(H172:BD172,"☐ Non implémenté")+COUNTIF(H172:BD172,"☐ Non")),"")</x:f>
      </x:c>
      <x:c r="BF172" s="82" t="str">
        <x:f>IF(B172="","",COUNTIF(H172:BD172,"☐ Non implémenté")+COUNTIF(H172:BD172,"☐ Non")+COUNTIF(H172:BD172,"◐ Partiel"))</x:f>
      </x:c>
      <x:c r="BG172" s="82"/>
    </x:row>
    <x:row r="173">
      <x:c r="A173" s="82"/>
      <x:c r="B173" s="82"/>
      <x:c r="C173" s="82"/>
      <x:c r="D173" s="82"/>
      <x:c r="E173" s="82"/>
      <x:c r="F173" s="82"/>
      <x:c r="G173" s="82"/>
      <x:c r="H173" s="82"/>
      <x:c r="I173" s="82"/>
      <x:c r="J173" s="82"/>
      <x:c r="K173" s="82"/>
      <x:c r="L173" s="82"/>
      <x:c r="M173" s="82"/>
      <x:c r="N173" s="82"/>
      <x:c r="O173" s="82"/>
      <x:c r="P173" s="82"/>
      <x:c r="Q173" s="84" t="str">
        <x:f>IFERROR((COUNTIF(H173:P173,"☑ Implémenté")+COUNTIF(H173:P173,"☑ Oui")+0.5*COUNTIF(H173:P173,"◐ Partiel"))/(COUNTIF(H173:P173,"☑ Implémenté")+COUNTIF(H173:P173,"☑ Oui")+COUNTIF(H173:P173,"◐ Partiel")+COUNTIF(H173:P173,"☐ Non implémenté")+COUNTIF(H173:P173,"☐ Non")),"")</x:f>
      </x:c>
      <x:c r="R173" s="82"/>
      <x:c r="S173" s="82"/>
      <x:c r="T173" s="82"/>
      <x:c r="U173" s="82"/>
      <x:c r="V173" s="84" t="str">
        <x:f>IFERROR((COUNTIF(R173:U173,"☑ Implémenté")+COUNTIF(R173:U173,"☑ Oui")+0.5*COUNTIF(R173:U173,"◐ Partiel"))/(COUNTIF(R173:U173,"☑ Implémenté")+COUNTIF(R173:U173,"☑ Oui")+COUNTIF(R173:U173,"◐ Partiel")+COUNTIF(R173:U173,"☐ Non implémenté")+COUNTIF(R173:U173,"☐ Non")),"")</x:f>
      </x:c>
      <x:c r="W173" s="82"/>
      <x:c r="X173" s="82"/>
      <x:c r="Y173" s="84" t="str">
        <x:f>IFERROR((COUNTIF(W173:X173,"☑ Implémenté")+COUNTIF(W173:X173,"☑ Oui")+0.5*COUNTIF(W173:X173,"◐ Partiel"))/(COUNTIF(W173:X173,"☑ Implémenté")+COUNTIF(W173:X173,"☑ Oui")+COUNTIF(W173:X173,"◐ Partiel")+COUNTIF(W173:X173,"☐ Non implémenté")+COUNTIF(W173:X173,"☐ Non")),"")</x:f>
      </x:c>
      <x:c r="Z173" s="82"/>
      <x:c r="AA173" s="82"/>
      <x:c r="AB173" s="82"/>
      <x:c r="AC173" s="82"/>
      <x:c r="AD173" s="82"/>
      <x:c r="AE173" s="82"/>
      <x:c r="AF173" s="82"/>
      <x:c r="AG173" s="84"/>
      <x:c r="AH173" s="82"/>
      <x:c r="AI173" s="82"/>
      <x:c r="AJ173" s="82"/>
      <x:c r="AK173" s="82"/>
      <x:c r="AL173" s="82"/>
      <x:c r="AM173" s="82"/>
      <x:c r="AN173" s="82"/>
      <x:c r="AO173" s="82"/>
      <x:c r="AP173" s="82"/>
      <x:c r="AQ173" s="82"/>
      <x:c r="AR173" s="82"/>
      <x:c r="AS173" s="82"/>
      <x:c r="AT173" s="82"/>
      <x:c r="AU173" s="82"/>
      <x:c r="AV173" s="82"/>
      <x:c r="AW173" s="82"/>
      <x:c r="AX173" s="82"/>
      <x:c r="AY173" s="82"/>
      <x:c r="AZ173" s="82"/>
      <x:c r="BA173" s="82"/>
      <x:c r="BB173" s="82"/>
      <x:c r="BC173" s="82"/>
      <x:c r="BD173" s="84" t="str">
        <x:f>IFERROR((COUNTIF(AZ173:BC173,"☑ Implémenté")+COUNTIF(AZ173:BC173,"☑ Oui")+0.5*COUNTIF(AZ173:BC173,"◐ Partiel"))/(COUNTIF(AZ173:BC173,"☑ Implémenté")+COUNTIF(AZ173:BC173,"☑ Oui")+COUNTIF(AZ173:BC173,"◐ Partiel")+COUNTIF(AZ173:BC173,"☐ Non implémenté")+COUNTIF(AZ173:BC173,"☐ Non")),"")</x:f>
      </x:c>
      <x:c r="BE173" s="84" t="str">
        <x:f>IFERROR((COUNTIF(H173:BD173,"☑ Implémenté")+COUNTIF(H173:BD173,"☑ Oui")+COUNTIF(H173:BD173,"DevOpsFundation")+0.5*COUNTIF(H173:BD173,"◐ Partiel"))/(COUNTIF(H173:BD173,"☑ Implémenté")+COUNTIF(H173:BD173,"☑ Oui")+COUNTIF(H173:BD173,"DevOpsFundation")+COUNTIF(H173:BD173,"◐ Partiel")+COUNTIF(H173:BD173,"☐ Non implémenté")+COUNTIF(H173:BD173,"☐ Non")),"")</x:f>
      </x:c>
      <x:c r="BF173" s="82" t="str">
        <x:f>IF(B173="","",COUNTIF(H173:BD173,"☐ Non implémenté")+COUNTIF(H173:BD173,"☐ Non")+COUNTIF(H173:BD173,"◐ Partiel"))</x:f>
      </x:c>
      <x:c r="BG173" s="82"/>
    </x:row>
    <x:row r="174">
      <x:c r="A174" s="82"/>
      <x:c r="B174" s="82"/>
      <x:c r="C174" s="82"/>
      <x:c r="D174" s="82"/>
      <x:c r="E174" s="82"/>
      <x:c r="F174" s="82"/>
      <x:c r="G174" s="82"/>
      <x:c r="H174" s="82"/>
      <x:c r="I174" s="82"/>
      <x:c r="J174" s="82"/>
      <x:c r="K174" s="82"/>
      <x:c r="L174" s="82"/>
      <x:c r="M174" s="82"/>
      <x:c r="N174" s="82"/>
      <x:c r="O174" s="82"/>
      <x:c r="P174" s="82"/>
      <x:c r="Q174" s="84" t="str">
        <x:f>IFERROR((COUNTIF(H174:P174,"☑ Implémenté")+COUNTIF(H174:P174,"☑ Oui")+0.5*COUNTIF(H174:P174,"◐ Partiel"))/(COUNTIF(H174:P174,"☑ Implémenté")+COUNTIF(H174:P174,"☑ Oui")+COUNTIF(H174:P174,"◐ Partiel")+COUNTIF(H174:P174,"☐ Non implémenté")+COUNTIF(H174:P174,"☐ Non")),"")</x:f>
      </x:c>
      <x:c r="R174" s="82"/>
      <x:c r="S174" s="82"/>
      <x:c r="T174" s="82"/>
      <x:c r="U174" s="82"/>
      <x:c r="V174" s="84" t="str">
        <x:f>IFERROR((COUNTIF(R174:U174,"☑ Implémenté")+COUNTIF(R174:U174,"☑ Oui")+0.5*COUNTIF(R174:U174,"◐ Partiel"))/(COUNTIF(R174:U174,"☑ Implémenté")+COUNTIF(R174:U174,"☑ Oui")+COUNTIF(R174:U174,"◐ Partiel")+COUNTIF(R174:U174,"☐ Non implémenté")+COUNTIF(R174:U174,"☐ Non")),"")</x:f>
      </x:c>
      <x:c r="W174" s="82"/>
      <x:c r="X174" s="82"/>
      <x:c r="Y174" s="84" t="str">
        <x:f>IFERROR((COUNTIF(W174:X174,"☑ Implémenté")+COUNTIF(W174:X174,"☑ Oui")+0.5*COUNTIF(W174:X174,"◐ Partiel"))/(COUNTIF(W174:X174,"☑ Implémenté")+COUNTIF(W174:X174,"☑ Oui")+COUNTIF(W174:X174,"◐ Partiel")+COUNTIF(W174:X174,"☐ Non implémenté")+COUNTIF(W174:X174,"☐ Non")),"")</x:f>
      </x:c>
      <x:c r="Z174" s="82"/>
      <x:c r="AA174" s="82"/>
      <x:c r="AB174" s="82"/>
      <x:c r="AC174" s="82"/>
      <x:c r="AD174" s="82"/>
      <x:c r="AE174" s="82"/>
      <x:c r="AF174" s="82"/>
      <x:c r="AG174" s="84"/>
      <x:c r="AH174" s="82"/>
      <x:c r="AI174" s="82"/>
      <x:c r="AJ174" s="82"/>
      <x:c r="AK174" s="82"/>
      <x:c r="AL174" s="82"/>
      <x:c r="AM174" s="82"/>
      <x:c r="AN174" s="82"/>
      <x:c r="AO174" s="82"/>
      <x:c r="AP174" s="82"/>
      <x:c r="AQ174" s="82"/>
      <x:c r="AR174" s="82"/>
      <x:c r="AS174" s="82"/>
      <x:c r="AT174" s="82"/>
      <x:c r="AU174" s="82"/>
      <x:c r="AV174" s="82"/>
      <x:c r="AW174" s="82"/>
      <x:c r="AX174" s="82"/>
      <x:c r="AY174" s="82"/>
      <x:c r="AZ174" s="82"/>
      <x:c r="BA174" s="82"/>
      <x:c r="BB174" s="82"/>
      <x:c r="BC174" s="82"/>
      <x:c r="BD174" s="84" t="str">
        <x:f>IFERROR((COUNTIF(AZ174:BC174,"☑ Implémenté")+COUNTIF(AZ174:BC174,"☑ Oui")+0.5*COUNTIF(AZ174:BC174,"◐ Partiel"))/(COUNTIF(AZ174:BC174,"☑ Implémenté")+COUNTIF(AZ174:BC174,"☑ Oui")+COUNTIF(AZ174:BC174,"◐ Partiel")+COUNTIF(AZ174:BC174,"☐ Non implémenté")+COUNTIF(AZ174:BC174,"☐ Non")),"")</x:f>
      </x:c>
      <x:c r="BE174" s="84" t="str">
        <x:f>IFERROR((COUNTIF(H174:BD174,"☑ Implémenté")+COUNTIF(H174:BD174,"☑ Oui")+COUNTIF(H174:BD174,"DevOpsFundation")+0.5*COUNTIF(H174:BD174,"◐ Partiel"))/(COUNTIF(H174:BD174,"☑ Implémenté")+COUNTIF(H174:BD174,"☑ Oui")+COUNTIF(H174:BD174,"DevOpsFundation")+COUNTIF(H174:BD174,"◐ Partiel")+COUNTIF(H174:BD174,"☐ Non implémenté")+COUNTIF(H174:BD174,"☐ Non")),"")</x:f>
      </x:c>
      <x:c r="BF174" s="82" t="str">
        <x:f>IF(B174="","",COUNTIF(H174:BD174,"☐ Non implémenté")+COUNTIF(H174:BD174,"☐ Non")+COUNTIF(H174:BD174,"◐ Partiel"))</x:f>
      </x:c>
      <x:c r="BG174" s="82"/>
    </x:row>
    <x:row r="175">
      <x:c r="A175" s="82"/>
      <x:c r="B175" s="82"/>
      <x:c r="C175" s="82"/>
      <x:c r="D175" s="82"/>
      <x:c r="E175" s="82"/>
      <x:c r="F175" s="82"/>
      <x:c r="G175" s="82"/>
      <x:c r="H175" s="82"/>
      <x:c r="I175" s="82"/>
      <x:c r="J175" s="82"/>
      <x:c r="K175" s="82"/>
      <x:c r="L175" s="82"/>
      <x:c r="M175" s="82"/>
      <x:c r="N175" s="82"/>
      <x:c r="O175" s="82"/>
      <x:c r="P175" s="82"/>
      <x:c r="Q175" s="84" t="str">
        <x:f>IFERROR((COUNTIF(H175:P175,"☑ Implémenté")+COUNTIF(H175:P175,"☑ Oui")+0.5*COUNTIF(H175:P175,"◐ Partiel"))/(COUNTIF(H175:P175,"☑ Implémenté")+COUNTIF(H175:P175,"☑ Oui")+COUNTIF(H175:P175,"◐ Partiel")+COUNTIF(H175:P175,"☐ Non implémenté")+COUNTIF(H175:P175,"☐ Non")),"")</x:f>
      </x:c>
      <x:c r="R175" s="82"/>
      <x:c r="S175" s="82"/>
      <x:c r="T175" s="82"/>
      <x:c r="U175" s="82"/>
      <x:c r="V175" s="84" t="str">
        <x:f>IFERROR((COUNTIF(R175:U175,"☑ Implémenté")+COUNTIF(R175:U175,"☑ Oui")+0.5*COUNTIF(R175:U175,"◐ Partiel"))/(COUNTIF(R175:U175,"☑ Implémenté")+COUNTIF(R175:U175,"☑ Oui")+COUNTIF(R175:U175,"◐ Partiel")+COUNTIF(R175:U175,"☐ Non implémenté")+COUNTIF(R175:U175,"☐ Non")),"")</x:f>
      </x:c>
      <x:c r="W175" s="82"/>
      <x:c r="X175" s="82"/>
      <x:c r="Y175" s="84" t="str">
        <x:f>IFERROR((COUNTIF(W175:X175,"☑ Implémenté")+COUNTIF(W175:X175,"☑ Oui")+0.5*COUNTIF(W175:X175,"◐ Partiel"))/(COUNTIF(W175:X175,"☑ Implémenté")+COUNTIF(W175:X175,"☑ Oui")+COUNTIF(W175:X175,"◐ Partiel")+COUNTIF(W175:X175,"☐ Non implémenté")+COUNTIF(W175:X175,"☐ Non")),"")</x:f>
      </x:c>
      <x:c r="Z175" s="82"/>
      <x:c r="AA175" s="82"/>
      <x:c r="AB175" s="82"/>
      <x:c r="AC175" s="82"/>
      <x:c r="AD175" s="82"/>
      <x:c r="AE175" s="82"/>
      <x:c r="AF175" s="82"/>
      <x:c r="AG175" s="84"/>
      <x:c r="AH175" s="82"/>
      <x:c r="AI175" s="82"/>
      <x:c r="AJ175" s="82"/>
      <x:c r="AK175" s="82"/>
      <x:c r="AL175" s="82"/>
      <x:c r="AM175" s="82"/>
      <x:c r="AN175" s="82"/>
      <x:c r="AO175" s="82"/>
      <x:c r="AP175" s="82"/>
      <x:c r="AQ175" s="82"/>
      <x:c r="AR175" s="82"/>
      <x:c r="AS175" s="82"/>
      <x:c r="AT175" s="82"/>
      <x:c r="AU175" s="82"/>
      <x:c r="AV175" s="82"/>
      <x:c r="AW175" s="82"/>
      <x:c r="AX175" s="82"/>
      <x:c r="AY175" s="82"/>
      <x:c r="AZ175" s="82"/>
      <x:c r="BA175" s="82"/>
      <x:c r="BB175" s="82"/>
      <x:c r="BC175" s="82"/>
      <x:c r="BD175" s="84" t="str">
        <x:f>IFERROR((COUNTIF(AZ175:BC175,"☑ Implémenté")+COUNTIF(AZ175:BC175,"☑ Oui")+0.5*COUNTIF(AZ175:BC175,"◐ Partiel"))/(COUNTIF(AZ175:BC175,"☑ Implémenté")+COUNTIF(AZ175:BC175,"☑ Oui")+COUNTIF(AZ175:BC175,"◐ Partiel")+COUNTIF(AZ175:BC175,"☐ Non implémenté")+COUNTIF(AZ175:BC175,"☐ Non")),"")</x:f>
      </x:c>
      <x:c r="BE175" s="84" t="str">
        <x:f>IFERROR((COUNTIF(H175:BD175,"☑ Implémenté")+COUNTIF(H175:BD175,"☑ Oui")+COUNTIF(H175:BD175,"DevOpsFundation")+0.5*COUNTIF(H175:BD175,"◐ Partiel"))/(COUNTIF(H175:BD175,"☑ Implémenté")+COUNTIF(H175:BD175,"☑ Oui")+COUNTIF(H175:BD175,"DevOpsFundation")+COUNTIF(H175:BD175,"◐ Partiel")+COUNTIF(H175:BD175,"☐ Non implémenté")+COUNTIF(H175:BD175,"☐ Non")),"")</x:f>
      </x:c>
      <x:c r="BF175" s="82" t="str">
        <x:f>IF(B175="","",COUNTIF(H175:BD175,"☐ Non implémenté")+COUNTIF(H175:BD175,"☐ Non")+COUNTIF(H175:BD175,"◐ Partiel"))</x:f>
      </x:c>
      <x:c r="BG175" s="82"/>
    </x:row>
    <x:row r="176">
      <x:c r="A176" s="82"/>
      <x:c r="B176" s="82"/>
      <x:c r="C176" s="82"/>
      <x:c r="D176" s="82"/>
      <x:c r="E176" s="82"/>
      <x:c r="F176" s="82"/>
      <x:c r="G176" s="82"/>
      <x:c r="H176" s="82"/>
      <x:c r="I176" s="82"/>
      <x:c r="J176" s="82"/>
      <x:c r="K176" s="82"/>
      <x:c r="L176" s="82"/>
      <x:c r="M176" s="82"/>
      <x:c r="N176" s="82"/>
      <x:c r="O176" s="82"/>
      <x:c r="P176" s="82"/>
      <x:c r="Q176" s="84" t="str">
        <x:f>IFERROR((COUNTIF(H176:P176,"☑ Implémenté")+COUNTIF(H176:P176,"☑ Oui")+0.5*COUNTIF(H176:P176,"◐ Partiel"))/(COUNTIF(H176:P176,"☑ Implémenté")+COUNTIF(H176:P176,"☑ Oui")+COUNTIF(H176:P176,"◐ Partiel")+COUNTIF(H176:P176,"☐ Non implémenté")+COUNTIF(H176:P176,"☐ Non")),"")</x:f>
      </x:c>
      <x:c r="R176" s="82"/>
      <x:c r="S176" s="82"/>
      <x:c r="T176" s="82"/>
      <x:c r="U176" s="82"/>
      <x:c r="V176" s="84" t="str">
        <x:f>IFERROR((COUNTIF(R176:U176,"☑ Implémenté")+COUNTIF(R176:U176,"☑ Oui")+0.5*COUNTIF(R176:U176,"◐ Partiel"))/(COUNTIF(R176:U176,"☑ Implémenté")+COUNTIF(R176:U176,"☑ Oui")+COUNTIF(R176:U176,"◐ Partiel")+COUNTIF(R176:U176,"☐ Non implémenté")+COUNTIF(R176:U176,"☐ Non")),"")</x:f>
      </x:c>
      <x:c r="W176" s="82"/>
      <x:c r="X176" s="82"/>
      <x:c r="Y176" s="84" t="str">
        <x:f>IFERROR((COUNTIF(W176:X176,"☑ Implémenté")+COUNTIF(W176:X176,"☑ Oui")+0.5*COUNTIF(W176:X176,"◐ Partiel"))/(COUNTIF(W176:X176,"☑ Implémenté")+COUNTIF(W176:X176,"☑ Oui")+COUNTIF(W176:X176,"◐ Partiel")+COUNTIF(W176:X176,"☐ Non implémenté")+COUNTIF(W176:X176,"☐ Non")),"")</x:f>
      </x:c>
      <x:c r="Z176" s="82"/>
      <x:c r="AA176" s="82"/>
      <x:c r="AB176" s="82"/>
      <x:c r="AC176" s="82"/>
      <x:c r="AD176" s="82"/>
      <x:c r="AE176" s="82"/>
      <x:c r="AF176" s="82"/>
      <x:c r="AG176" s="84"/>
      <x:c r="AH176" s="82"/>
      <x:c r="AI176" s="82"/>
      <x:c r="AJ176" s="82"/>
      <x:c r="AK176" s="82"/>
      <x:c r="AL176" s="82"/>
      <x:c r="AM176" s="82"/>
      <x:c r="AN176" s="82"/>
      <x:c r="AO176" s="82"/>
      <x:c r="AP176" s="82"/>
      <x:c r="AQ176" s="82"/>
      <x:c r="AR176" s="82"/>
      <x:c r="AS176" s="82"/>
      <x:c r="AT176" s="82"/>
      <x:c r="AU176" s="82"/>
      <x:c r="AV176" s="82"/>
      <x:c r="AW176" s="82"/>
      <x:c r="AX176" s="82"/>
      <x:c r="AY176" s="82"/>
      <x:c r="AZ176" s="82"/>
      <x:c r="BA176" s="82"/>
      <x:c r="BB176" s="82"/>
      <x:c r="BC176" s="82"/>
      <x:c r="BD176" s="84" t="str">
        <x:f>IFERROR((COUNTIF(AZ176:BC176,"☑ Implémenté")+COUNTIF(AZ176:BC176,"☑ Oui")+0.5*COUNTIF(AZ176:BC176,"◐ Partiel"))/(COUNTIF(AZ176:BC176,"☑ Implémenté")+COUNTIF(AZ176:BC176,"☑ Oui")+COUNTIF(AZ176:BC176,"◐ Partiel")+COUNTIF(AZ176:BC176,"☐ Non implémenté")+COUNTIF(AZ176:BC176,"☐ Non")),"")</x:f>
      </x:c>
      <x:c r="BE176" s="84" t="str">
        <x:f>IFERROR((COUNTIF(H176:BD176,"☑ Implémenté")+COUNTIF(H176:BD176,"☑ Oui")+COUNTIF(H176:BD176,"DevOpsFundation")+0.5*COUNTIF(H176:BD176,"◐ Partiel"))/(COUNTIF(H176:BD176,"☑ Implémenté")+COUNTIF(H176:BD176,"☑ Oui")+COUNTIF(H176:BD176,"DevOpsFundation")+COUNTIF(H176:BD176,"◐ Partiel")+COUNTIF(H176:BD176,"☐ Non implémenté")+COUNTIF(H176:BD176,"☐ Non")),"")</x:f>
      </x:c>
      <x:c r="BF176" s="82" t="str">
        <x:f>IF(B176="","",COUNTIF(H176:BD176,"☐ Non implémenté")+COUNTIF(H176:BD176,"☐ Non")+COUNTIF(H176:BD176,"◐ Partiel"))</x:f>
      </x:c>
      <x:c r="BG176" s="82"/>
    </x:row>
    <x:row r="177">
      <x:c r="A177" s="82"/>
      <x:c r="B177" s="82"/>
      <x:c r="C177" s="82"/>
      <x:c r="D177" s="82"/>
      <x:c r="E177" s="82"/>
      <x:c r="F177" s="82"/>
      <x:c r="G177" s="82"/>
      <x:c r="H177" s="82"/>
      <x:c r="I177" s="82"/>
      <x:c r="J177" s="82"/>
      <x:c r="K177" s="82"/>
      <x:c r="L177" s="82"/>
      <x:c r="M177" s="82"/>
      <x:c r="N177" s="82"/>
      <x:c r="O177" s="82"/>
      <x:c r="P177" s="82"/>
      <x:c r="Q177" s="84" t="str">
        <x:f>IFERROR((COUNTIF(H177:P177,"☑ Implémenté")+COUNTIF(H177:P177,"☑ Oui")+0.5*COUNTIF(H177:P177,"◐ Partiel"))/(COUNTIF(H177:P177,"☑ Implémenté")+COUNTIF(H177:P177,"☑ Oui")+COUNTIF(H177:P177,"◐ Partiel")+COUNTIF(H177:P177,"☐ Non implémenté")+COUNTIF(H177:P177,"☐ Non")),"")</x:f>
      </x:c>
      <x:c r="R177" s="82"/>
      <x:c r="S177" s="82"/>
      <x:c r="T177" s="82"/>
      <x:c r="U177" s="82"/>
      <x:c r="V177" s="84" t="str">
        <x:f>IFERROR((COUNTIF(R177:U177,"☑ Implémenté")+COUNTIF(R177:U177,"☑ Oui")+0.5*COUNTIF(R177:U177,"◐ Partiel"))/(COUNTIF(R177:U177,"☑ Implémenté")+COUNTIF(R177:U177,"☑ Oui")+COUNTIF(R177:U177,"◐ Partiel")+COUNTIF(R177:U177,"☐ Non implémenté")+COUNTIF(R177:U177,"☐ Non")),"")</x:f>
      </x:c>
      <x:c r="W177" s="82"/>
      <x:c r="X177" s="82"/>
      <x:c r="Y177" s="84" t="str">
        <x:f>IFERROR((COUNTIF(W177:X177,"☑ Implémenté")+COUNTIF(W177:X177,"☑ Oui")+0.5*COUNTIF(W177:X177,"◐ Partiel"))/(COUNTIF(W177:X177,"☑ Implémenté")+COUNTIF(W177:X177,"☑ Oui")+COUNTIF(W177:X177,"◐ Partiel")+COUNTIF(W177:X177,"☐ Non implémenté")+COUNTIF(W177:X177,"☐ Non")),"")</x:f>
      </x:c>
      <x:c r="Z177" s="82"/>
      <x:c r="AA177" s="82"/>
      <x:c r="AB177" s="82"/>
      <x:c r="AC177" s="82"/>
      <x:c r="AD177" s="82"/>
      <x:c r="AE177" s="82"/>
      <x:c r="AF177" s="82"/>
      <x:c r="AG177" s="84"/>
      <x:c r="AH177" s="82"/>
      <x:c r="AI177" s="82"/>
      <x:c r="AJ177" s="82"/>
      <x:c r="AK177" s="82"/>
      <x:c r="AL177" s="82"/>
      <x:c r="AM177" s="82"/>
      <x:c r="AN177" s="82"/>
      <x:c r="AO177" s="82"/>
      <x:c r="AP177" s="82"/>
      <x:c r="AQ177" s="82"/>
      <x:c r="AR177" s="82"/>
      <x:c r="AS177" s="82"/>
      <x:c r="AT177" s="82"/>
      <x:c r="AU177" s="82"/>
      <x:c r="AV177" s="82"/>
      <x:c r="AW177" s="82"/>
      <x:c r="AX177" s="82"/>
      <x:c r="AY177" s="82"/>
      <x:c r="AZ177" s="82"/>
      <x:c r="BA177" s="82"/>
      <x:c r="BB177" s="82"/>
      <x:c r="BC177" s="82"/>
      <x:c r="BD177" s="84" t="str">
        <x:f>IFERROR((COUNTIF(AZ177:BC177,"☑ Implémenté")+COUNTIF(AZ177:BC177,"☑ Oui")+0.5*COUNTIF(AZ177:BC177,"◐ Partiel"))/(COUNTIF(AZ177:BC177,"☑ Implémenté")+COUNTIF(AZ177:BC177,"☑ Oui")+COUNTIF(AZ177:BC177,"◐ Partiel")+COUNTIF(AZ177:BC177,"☐ Non implémenté")+COUNTIF(AZ177:BC177,"☐ Non")),"")</x:f>
      </x:c>
      <x:c r="BE177" s="84" t="str">
        <x:f>IFERROR((COUNTIF(H177:BD177,"☑ Implémenté")+COUNTIF(H177:BD177,"☑ Oui")+COUNTIF(H177:BD177,"DevOpsFundation")+0.5*COUNTIF(H177:BD177,"◐ Partiel"))/(COUNTIF(H177:BD177,"☑ Implémenté")+COUNTIF(H177:BD177,"☑ Oui")+COUNTIF(H177:BD177,"DevOpsFundation")+COUNTIF(H177:BD177,"◐ Partiel")+COUNTIF(H177:BD177,"☐ Non implémenté")+COUNTIF(H177:BD177,"☐ Non")),"")</x:f>
      </x:c>
      <x:c r="BF177" s="82" t="str">
        <x:f>IF(B177="","",COUNTIF(H177:BD177,"☐ Non implémenté")+COUNTIF(H177:BD177,"☐ Non")+COUNTIF(H177:BD177,"◐ Partiel"))</x:f>
      </x:c>
      <x:c r="BG177" s="82"/>
    </x:row>
    <x:row r="178">
      <x:c r="A178" s="82"/>
      <x:c r="B178" s="82"/>
      <x:c r="C178" s="82"/>
      <x:c r="D178" s="82"/>
      <x:c r="E178" s="82"/>
      <x:c r="F178" s="82"/>
      <x:c r="G178" s="82"/>
      <x:c r="H178" s="82"/>
      <x:c r="I178" s="82"/>
      <x:c r="J178" s="82"/>
      <x:c r="K178" s="82"/>
      <x:c r="L178" s="82"/>
      <x:c r="M178" s="82"/>
      <x:c r="N178" s="82"/>
      <x:c r="O178" s="82"/>
      <x:c r="P178" s="82"/>
      <x:c r="Q178" s="84" t="str">
        <x:f>IFERROR((COUNTIF(H178:P178,"☑ Implémenté")+COUNTIF(H178:P178,"☑ Oui")+0.5*COUNTIF(H178:P178,"◐ Partiel"))/(COUNTIF(H178:P178,"☑ Implémenté")+COUNTIF(H178:P178,"☑ Oui")+COUNTIF(H178:P178,"◐ Partiel")+COUNTIF(H178:P178,"☐ Non implémenté")+COUNTIF(H178:P178,"☐ Non")),"")</x:f>
      </x:c>
      <x:c r="R178" s="82"/>
      <x:c r="S178" s="82"/>
      <x:c r="T178" s="82"/>
      <x:c r="U178" s="82"/>
      <x:c r="V178" s="84" t="str">
        <x:f>IFERROR((COUNTIF(R178:U178,"☑ Implémenté")+COUNTIF(R178:U178,"☑ Oui")+0.5*COUNTIF(R178:U178,"◐ Partiel"))/(COUNTIF(R178:U178,"☑ Implémenté")+COUNTIF(R178:U178,"☑ Oui")+COUNTIF(R178:U178,"◐ Partiel")+COUNTIF(R178:U178,"☐ Non implémenté")+COUNTIF(R178:U178,"☐ Non")),"")</x:f>
      </x:c>
      <x:c r="W178" s="82"/>
      <x:c r="X178" s="82"/>
      <x:c r="Y178" s="84" t="str">
        <x:f>IFERROR((COUNTIF(W178:X178,"☑ Implémenté")+COUNTIF(W178:X178,"☑ Oui")+0.5*COUNTIF(W178:X178,"◐ Partiel"))/(COUNTIF(W178:X178,"☑ Implémenté")+COUNTIF(W178:X178,"☑ Oui")+COUNTIF(W178:X178,"◐ Partiel")+COUNTIF(W178:X178,"☐ Non implémenté")+COUNTIF(W178:X178,"☐ Non")),"")</x:f>
      </x:c>
      <x:c r="Z178" s="82"/>
      <x:c r="AA178" s="82"/>
      <x:c r="AB178" s="82"/>
      <x:c r="AC178" s="82"/>
      <x:c r="AD178" s="82"/>
      <x:c r="AE178" s="82"/>
      <x:c r="AF178" s="82"/>
      <x:c r="AG178" s="84"/>
      <x:c r="AH178" s="82"/>
      <x:c r="AI178" s="82"/>
      <x:c r="AJ178" s="82"/>
      <x:c r="AK178" s="82"/>
      <x:c r="AL178" s="82"/>
      <x:c r="AM178" s="82"/>
      <x:c r="AN178" s="82"/>
      <x:c r="AO178" s="82"/>
      <x:c r="AP178" s="82"/>
      <x:c r="AQ178" s="82"/>
      <x:c r="AR178" s="82"/>
      <x:c r="AS178" s="82"/>
      <x:c r="AT178" s="82"/>
      <x:c r="AU178" s="82"/>
      <x:c r="AV178" s="82"/>
      <x:c r="AW178" s="82"/>
      <x:c r="AX178" s="82"/>
      <x:c r="AY178" s="82"/>
      <x:c r="AZ178" s="82"/>
      <x:c r="BA178" s="82"/>
      <x:c r="BB178" s="82"/>
      <x:c r="BC178" s="82"/>
      <x:c r="BD178" s="84" t="str">
        <x:f>IFERROR((COUNTIF(AZ178:BC178,"☑ Implémenté")+COUNTIF(AZ178:BC178,"☑ Oui")+0.5*COUNTIF(AZ178:BC178,"◐ Partiel"))/(COUNTIF(AZ178:BC178,"☑ Implémenté")+COUNTIF(AZ178:BC178,"☑ Oui")+COUNTIF(AZ178:BC178,"◐ Partiel")+COUNTIF(AZ178:BC178,"☐ Non implémenté")+COUNTIF(AZ178:BC178,"☐ Non")),"")</x:f>
      </x:c>
      <x:c r="BE178" s="84" t="str">
        <x:f>IFERROR((COUNTIF(H178:BD178,"☑ Implémenté")+COUNTIF(H178:BD178,"☑ Oui")+COUNTIF(H178:BD178,"DevOpsFundation")+0.5*COUNTIF(H178:BD178,"◐ Partiel"))/(COUNTIF(H178:BD178,"☑ Implémenté")+COUNTIF(H178:BD178,"☑ Oui")+COUNTIF(H178:BD178,"DevOpsFundation")+COUNTIF(H178:BD178,"◐ Partiel")+COUNTIF(H178:BD178,"☐ Non implémenté")+COUNTIF(H178:BD178,"☐ Non")),"")</x:f>
      </x:c>
      <x:c r="BF178" s="82" t="str">
        <x:f>IF(B178="","",COUNTIF(H178:BD178,"☐ Non implémenté")+COUNTIF(H178:BD178,"☐ Non")+COUNTIF(H178:BD178,"◐ Partiel"))</x:f>
      </x:c>
      <x:c r="BG178" s="82"/>
    </x:row>
    <x:row r="179">
      <x:c r="A179" s="82"/>
      <x:c r="B179" s="82"/>
      <x:c r="C179" s="82"/>
      <x:c r="D179" s="82"/>
      <x:c r="E179" s="82"/>
      <x:c r="F179" s="82"/>
      <x:c r="G179" s="82"/>
      <x:c r="H179" s="82"/>
      <x:c r="I179" s="82"/>
      <x:c r="J179" s="82"/>
      <x:c r="K179" s="82"/>
      <x:c r="L179" s="82"/>
      <x:c r="M179" s="82"/>
      <x:c r="N179" s="82"/>
      <x:c r="O179" s="82"/>
      <x:c r="P179" s="82"/>
      <x:c r="Q179" s="84" t="str">
        <x:f>IFERROR((COUNTIF(H179:P179,"☑ Implémenté")+COUNTIF(H179:P179,"☑ Oui")+0.5*COUNTIF(H179:P179,"◐ Partiel"))/(COUNTIF(H179:P179,"☑ Implémenté")+COUNTIF(H179:P179,"☑ Oui")+COUNTIF(H179:P179,"◐ Partiel")+COUNTIF(H179:P179,"☐ Non implémenté")+COUNTIF(H179:P179,"☐ Non")),"")</x:f>
      </x:c>
      <x:c r="R179" s="82"/>
      <x:c r="S179" s="82"/>
      <x:c r="T179" s="82"/>
      <x:c r="U179" s="82"/>
      <x:c r="V179" s="84" t="str">
        <x:f>IFERROR((COUNTIF(R179:U179,"☑ Implémenté")+COUNTIF(R179:U179,"☑ Oui")+0.5*COUNTIF(R179:U179,"◐ Partiel"))/(COUNTIF(R179:U179,"☑ Implémenté")+COUNTIF(R179:U179,"☑ Oui")+COUNTIF(R179:U179,"◐ Partiel")+COUNTIF(R179:U179,"☐ Non implémenté")+COUNTIF(R179:U179,"☐ Non")),"")</x:f>
      </x:c>
      <x:c r="W179" s="82"/>
      <x:c r="X179" s="82"/>
      <x:c r="Y179" s="84" t="str">
        <x:f>IFERROR((COUNTIF(W179:X179,"☑ Implémenté")+COUNTIF(W179:X179,"☑ Oui")+0.5*COUNTIF(W179:X179,"◐ Partiel"))/(COUNTIF(W179:X179,"☑ Implémenté")+COUNTIF(W179:X179,"☑ Oui")+COUNTIF(W179:X179,"◐ Partiel")+COUNTIF(W179:X179,"☐ Non implémenté")+COUNTIF(W179:X179,"☐ Non")),"")</x:f>
      </x:c>
      <x:c r="Z179" s="82"/>
      <x:c r="AA179" s="82"/>
      <x:c r="AB179" s="82"/>
      <x:c r="AC179" s="82"/>
      <x:c r="AD179" s="82"/>
      <x:c r="AE179" s="82"/>
      <x:c r="AF179" s="82"/>
      <x:c r="AG179" s="84"/>
      <x:c r="AH179" s="82"/>
      <x:c r="AI179" s="82"/>
      <x:c r="AJ179" s="82"/>
      <x:c r="AK179" s="82"/>
      <x:c r="AL179" s="82"/>
      <x:c r="AM179" s="82"/>
      <x:c r="AN179" s="82"/>
      <x:c r="AO179" s="82"/>
      <x:c r="AP179" s="82"/>
      <x:c r="AQ179" s="82"/>
      <x:c r="AR179" s="82"/>
      <x:c r="AS179" s="82"/>
      <x:c r="AT179" s="82"/>
      <x:c r="AU179" s="82"/>
      <x:c r="AV179" s="82"/>
      <x:c r="AW179" s="82"/>
      <x:c r="AX179" s="82"/>
      <x:c r="AY179" s="82"/>
      <x:c r="AZ179" s="82"/>
      <x:c r="BA179" s="82"/>
      <x:c r="BB179" s="82"/>
      <x:c r="BC179" s="82"/>
      <x:c r="BD179" s="84" t="str">
        <x:f>IFERROR((COUNTIF(AZ179:BC179,"☑ Implémenté")+COUNTIF(AZ179:BC179,"☑ Oui")+0.5*COUNTIF(AZ179:BC179,"◐ Partiel"))/(COUNTIF(AZ179:BC179,"☑ Implémenté")+COUNTIF(AZ179:BC179,"☑ Oui")+COUNTIF(AZ179:BC179,"◐ Partiel")+COUNTIF(AZ179:BC179,"☐ Non implémenté")+COUNTIF(AZ179:BC179,"☐ Non")),"")</x:f>
      </x:c>
      <x:c r="BE179" s="84" t="str">
        <x:f>IFERROR((COUNTIF(H179:BD179,"☑ Implémenté")+COUNTIF(H179:BD179,"☑ Oui")+COUNTIF(H179:BD179,"DevOpsFundation")+0.5*COUNTIF(H179:BD179,"◐ Partiel"))/(COUNTIF(H179:BD179,"☑ Implémenté")+COUNTIF(H179:BD179,"☑ Oui")+COUNTIF(H179:BD179,"DevOpsFundation")+COUNTIF(H179:BD179,"◐ Partiel")+COUNTIF(H179:BD179,"☐ Non implémenté")+COUNTIF(H179:BD179,"☐ Non")),"")</x:f>
      </x:c>
      <x:c r="BF179" s="82" t="str">
        <x:f>IF(B179="","",COUNTIF(H179:BD179,"☐ Non implémenté")+COUNTIF(H179:BD179,"☐ Non")+COUNTIF(H179:BD179,"◐ Partiel"))</x:f>
      </x:c>
      <x:c r="BG179" s="82"/>
    </x:row>
    <x:row r="180">
      <x:c r="A180" s="82"/>
      <x:c r="B180" s="82"/>
      <x:c r="C180" s="82"/>
      <x:c r="D180" s="82"/>
      <x:c r="E180" s="82"/>
      <x:c r="F180" s="82"/>
      <x:c r="G180" s="82"/>
      <x:c r="H180" s="82"/>
      <x:c r="I180" s="82"/>
      <x:c r="J180" s="82"/>
      <x:c r="K180" s="82"/>
      <x:c r="L180" s="82"/>
      <x:c r="M180" s="82"/>
      <x:c r="N180" s="82"/>
      <x:c r="O180" s="82"/>
      <x:c r="P180" s="82"/>
      <x:c r="Q180" s="84" t="str">
        <x:f>IFERROR((COUNTIF(H180:P180,"☑ Implémenté")+COUNTIF(H180:P180,"☑ Oui")+0.5*COUNTIF(H180:P180,"◐ Partiel"))/(COUNTIF(H180:P180,"☑ Implémenté")+COUNTIF(H180:P180,"☑ Oui")+COUNTIF(H180:P180,"◐ Partiel")+COUNTIF(H180:P180,"☐ Non implémenté")+COUNTIF(H180:P180,"☐ Non")),"")</x:f>
      </x:c>
      <x:c r="R180" s="82"/>
      <x:c r="S180" s="82"/>
      <x:c r="T180" s="82"/>
      <x:c r="U180" s="82"/>
      <x:c r="V180" s="84" t="str">
        <x:f>IFERROR((COUNTIF(R180:U180,"☑ Implémenté")+COUNTIF(R180:U180,"☑ Oui")+0.5*COUNTIF(R180:U180,"◐ Partiel"))/(COUNTIF(R180:U180,"☑ Implémenté")+COUNTIF(R180:U180,"☑ Oui")+COUNTIF(R180:U180,"◐ Partiel")+COUNTIF(R180:U180,"☐ Non implémenté")+COUNTIF(R180:U180,"☐ Non")),"")</x:f>
      </x:c>
      <x:c r="W180" s="82"/>
      <x:c r="X180" s="82"/>
      <x:c r="Y180" s="84" t="str">
        <x:f>IFERROR((COUNTIF(W180:X180,"☑ Implémenté")+COUNTIF(W180:X180,"☑ Oui")+0.5*COUNTIF(W180:X180,"◐ Partiel"))/(COUNTIF(W180:X180,"☑ Implémenté")+COUNTIF(W180:X180,"☑ Oui")+COUNTIF(W180:X180,"◐ Partiel")+COUNTIF(W180:X180,"☐ Non implémenté")+COUNTIF(W180:X180,"☐ Non")),"")</x:f>
      </x:c>
      <x:c r="Z180" s="82"/>
      <x:c r="AA180" s="82"/>
      <x:c r="AB180" s="82"/>
      <x:c r="AC180" s="82"/>
      <x:c r="AD180" s="82"/>
      <x:c r="AE180" s="82"/>
      <x:c r="AF180" s="82"/>
      <x:c r="AG180" s="84"/>
      <x:c r="AH180" s="82"/>
      <x:c r="AI180" s="82"/>
      <x:c r="AJ180" s="82"/>
      <x:c r="AK180" s="82"/>
      <x:c r="AL180" s="82"/>
      <x:c r="AM180" s="82"/>
      <x:c r="AN180" s="82"/>
      <x:c r="AO180" s="82"/>
      <x:c r="AP180" s="82"/>
      <x:c r="AQ180" s="82"/>
      <x:c r="AR180" s="82"/>
      <x:c r="AS180" s="82"/>
      <x:c r="AT180" s="82"/>
      <x:c r="AU180" s="82"/>
      <x:c r="AV180" s="82"/>
      <x:c r="AW180" s="82"/>
      <x:c r="AX180" s="82"/>
      <x:c r="AY180" s="82"/>
      <x:c r="AZ180" s="82"/>
      <x:c r="BA180" s="82"/>
      <x:c r="BB180" s="82"/>
      <x:c r="BC180" s="82"/>
      <x:c r="BD180" s="84" t="str">
        <x:f>IFERROR((COUNTIF(AZ180:BC180,"☑ Implémenté")+COUNTIF(AZ180:BC180,"☑ Oui")+0.5*COUNTIF(AZ180:BC180,"◐ Partiel"))/(COUNTIF(AZ180:BC180,"☑ Implémenté")+COUNTIF(AZ180:BC180,"☑ Oui")+COUNTIF(AZ180:BC180,"◐ Partiel")+COUNTIF(AZ180:BC180,"☐ Non implémenté")+COUNTIF(AZ180:BC180,"☐ Non")),"")</x:f>
      </x:c>
      <x:c r="BE180" s="84" t="str">
        <x:f>IFERROR((COUNTIF(H180:BD180,"☑ Implémenté")+COUNTIF(H180:BD180,"☑ Oui")+COUNTIF(H180:BD180,"DevOpsFundation")+0.5*COUNTIF(H180:BD180,"◐ Partiel"))/(COUNTIF(H180:BD180,"☑ Implémenté")+COUNTIF(H180:BD180,"☑ Oui")+COUNTIF(H180:BD180,"DevOpsFundation")+COUNTIF(H180:BD180,"◐ Partiel")+COUNTIF(H180:BD180,"☐ Non implémenté")+COUNTIF(H180:BD180,"☐ Non")),"")</x:f>
      </x:c>
      <x:c r="BF180" s="82" t="str">
        <x:f>IF(B180="","",COUNTIF(H180:BD180,"☐ Non implémenté")+COUNTIF(H180:BD180,"☐ Non")+COUNTIF(H180:BD180,"◐ Partiel"))</x:f>
      </x:c>
      <x:c r="BG180" s="82"/>
    </x:row>
    <x:row r="181">
      <x:c r="A181" s="82"/>
      <x:c r="B181" s="82"/>
      <x:c r="C181" s="82"/>
      <x:c r="D181" s="82"/>
      <x:c r="E181" s="82"/>
      <x:c r="F181" s="82"/>
      <x:c r="G181" s="82"/>
      <x:c r="H181" s="82"/>
      <x:c r="I181" s="82"/>
      <x:c r="J181" s="82"/>
      <x:c r="K181" s="82"/>
      <x:c r="L181" s="82"/>
      <x:c r="M181" s="82"/>
      <x:c r="N181" s="82"/>
      <x:c r="O181" s="82"/>
      <x:c r="P181" s="82"/>
      <x:c r="Q181" s="84" t="str">
        <x:f>IFERROR((COUNTIF(H181:P181,"☑ Implémenté")+COUNTIF(H181:P181,"☑ Oui")+0.5*COUNTIF(H181:P181,"◐ Partiel"))/(COUNTIF(H181:P181,"☑ Implémenté")+COUNTIF(H181:P181,"☑ Oui")+COUNTIF(H181:P181,"◐ Partiel")+COUNTIF(H181:P181,"☐ Non implémenté")+COUNTIF(H181:P181,"☐ Non")),"")</x:f>
      </x:c>
      <x:c r="R181" s="82"/>
      <x:c r="S181" s="82"/>
      <x:c r="T181" s="82"/>
      <x:c r="U181" s="82"/>
      <x:c r="V181" s="84" t="str">
        <x:f>IFERROR((COUNTIF(R181:U181,"☑ Implémenté")+COUNTIF(R181:U181,"☑ Oui")+0.5*COUNTIF(R181:U181,"◐ Partiel"))/(COUNTIF(R181:U181,"☑ Implémenté")+COUNTIF(R181:U181,"☑ Oui")+COUNTIF(R181:U181,"◐ Partiel")+COUNTIF(R181:U181,"☐ Non implémenté")+COUNTIF(R181:U181,"☐ Non")),"")</x:f>
      </x:c>
      <x:c r="W181" s="82"/>
      <x:c r="X181" s="82"/>
      <x:c r="Y181" s="84" t="str">
        <x:f>IFERROR((COUNTIF(W181:X181,"☑ Implémenté")+COUNTIF(W181:X181,"☑ Oui")+0.5*COUNTIF(W181:X181,"◐ Partiel"))/(COUNTIF(W181:X181,"☑ Implémenté")+COUNTIF(W181:X181,"☑ Oui")+COUNTIF(W181:X181,"◐ Partiel")+COUNTIF(W181:X181,"☐ Non implémenté")+COUNTIF(W181:X181,"☐ Non")),"")</x:f>
      </x:c>
      <x:c r="Z181" s="82"/>
      <x:c r="AA181" s="82"/>
      <x:c r="AB181" s="82"/>
      <x:c r="AC181" s="82"/>
      <x:c r="AD181" s="82"/>
      <x:c r="AE181" s="82"/>
      <x:c r="AF181" s="82"/>
      <x:c r="AG181" s="84"/>
      <x:c r="AH181" s="82"/>
      <x:c r="AI181" s="82"/>
      <x:c r="AJ181" s="82"/>
      <x:c r="AK181" s="82"/>
      <x:c r="AL181" s="82"/>
      <x:c r="AM181" s="82"/>
      <x:c r="AN181" s="82"/>
      <x:c r="AO181" s="82"/>
      <x:c r="AP181" s="82"/>
      <x:c r="AQ181" s="82"/>
      <x:c r="AR181" s="82"/>
      <x:c r="AS181" s="82"/>
      <x:c r="AT181" s="82"/>
      <x:c r="AU181" s="82"/>
      <x:c r="AV181" s="82"/>
      <x:c r="AW181" s="82"/>
      <x:c r="AX181" s="82"/>
      <x:c r="AY181" s="82"/>
      <x:c r="AZ181" s="82"/>
      <x:c r="BA181" s="82"/>
      <x:c r="BB181" s="82"/>
      <x:c r="BC181" s="82"/>
      <x:c r="BD181" s="84" t="str">
        <x:f>IFERROR((COUNTIF(AZ181:BC181,"☑ Implémenté")+COUNTIF(AZ181:BC181,"☑ Oui")+0.5*COUNTIF(AZ181:BC181,"◐ Partiel"))/(COUNTIF(AZ181:BC181,"☑ Implémenté")+COUNTIF(AZ181:BC181,"☑ Oui")+COUNTIF(AZ181:BC181,"◐ Partiel")+COUNTIF(AZ181:BC181,"☐ Non implémenté")+COUNTIF(AZ181:BC181,"☐ Non")),"")</x:f>
      </x:c>
      <x:c r="BE181" s="84" t="str">
        <x:f>IFERROR((COUNTIF(H181:BD181,"☑ Implémenté")+COUNTIF(H181:BD181,"☑ Oui")+COUNTIF(H181:BD181,"DevOpsFundation")+0.5*COUNTIF(H181:BD181,"◐ Partiel"))/(COUNTIF(H181:BD181,"☑ Implémenté")+COUNTIF(H181:BD181,"☑ Oui")+COUNTIF(H181:BD181,"DevOpsFundation")+COUNTIF(H181:BD181,"◐ Partiel")+COUNTIF(H181:BD181,"☐ Non implémenté")+COUNTIF(H181:BD181,"☐ Non")),"")</x:f>
      </x:c>
      <x:c r="BF181" s="82" t="str">
        <x:f>IF(B181="","",COUNTIF(H181:BD181,"☐ Non implémenté")+COUNTIF(H181:BD181,"☐ Non")+COUNTIF(H181:BD181,"◐ Partiel"))</x:f>
      </x:c>
      <x:c r="BG181" s="82"/>
    </x:row>
    <x:row r="182">
      <x:c r="A182" s="82"/>
      <x:c r="B182" s="82"/>
      <x:c r="C182" s="82"/>
      <x:c r="D182" s="82"/>
      <x:c r="E182" s="82"/>
      <x:c r="F182" s="82"/>
      <x:c r="G182" s="82"/>
      <x:c r="H182" s="82"/>
      <x:c r="I182" s="82"/>
      <x:c r="J182" s="82"/>
      <x:c r="K182" s="82"/>
      <x:c r="L182" s="82"/>
      <x:c r="M182" s="82"/>
      <x:c r="N182" s="82"/>
      <x:c r="O182" s="82"/>
      <x:c r="P182" s="82"/>
      <x:c r="Q182" s="84" t="str">
        <x:f>IFERROR((COUNTIF(H182:P182,"☑ Implémenté")+COUNTIF(H182:P182,"☑ Oui")+0.5*COUNTIF(H182:P182,"◐ Partiel"))/(COUNTIF(H182:P182,"☑ Implémenté")+COUNTIF(H182:P182,"☑ Oui")+COUNTIF(H182:P182,"◐ Partiel")+COUNTIF(H182:P182,"☐ Non implémenté")+COUNTIF(H182:P182,"☐ Non")),"")</x:f>
      </x:c>
      <x:c r="R182" s="82"/>
      <x:c r="S182" s="82"/>
      <x:c r="T182" s="82"/>
      <x:c r="U182" s="82"/>
      <x:c r="V182" s="84" t="str">
        <x:f>IFERROR((COUNTIF(R182:U182,"☑ Implémenté")+COUNTIF(R182:U182,"☑ Oui")+0.5*COUNTIF(R182:U182,"◐ Partiel"))/(COUNTIF(R182:U182,"☑ Implémenté")+COUNTIF(R182:U182,"☑ Oui")+COUNTIF(R182:U182,"◐ Partiel")+COUNTIF(R182:U182,"☐ Non implémenté")+COUNTIF(R182:U182,"☐ Non")),"")</x:f>
      </x:c>
      <x:c r="W182" s="82"/>
      <x:c r="X182" s="82"/>
      <x:c r="Y182" s="84" t="str">
        <x:f>IFERROR((COUNTIF(W182:X182,"☑ Implémenté")+COUNTIF(W182:X182,"☑ Oui")+0.5*COUNTIF(W182:X182,"◐ Partiel"))/(COUNTIF(W182:X182,"☑ Implémenté")+COUNTIF(W182:X182,"☑ Oui")+COUNTIF(W182:X182,"◐ Partiel")+COUNTIF(W182:X182,"☐ Non implémenté")+COUNTIF(W182:X182,"☐ Non")),"")</x:f>
      </x:c>
      <x:c r="Z182" s="82"/>
      <x:c r="AA182" s="82"/>
      <x:c r="AB182" s="82"/>
      <x:c r="AC182" s="82"/>
      <x:c r="AD182" s="82"/>
      <x:c r="AE182" s="82"/>
      <x:c r="AF182" s="82"/>
      <x:c r="AG182" s="84"/>
      <x:c r="AH182" s="82"/>
      <x:c r="AI182" s="82"/>
      <x:c r="AJ182" s="82"/>
      <x:c r="AK182" s="82"/>
      <x:c r="AL182" s="82"/>
      <x:c r="AM182" s="82"/>
      <x:c r="AN182" s="82"/>
      <x:c r="AO182" s="82"/>
      <x:c r="AP182" s="82"/>
      <x:c r="AQ182" s="82"/>
      <x:c r="AR182" s="82"/>
      <x:c r="AS182" s="82"/>
      <x:c r="AT182" s="82"/>
      <x:c r="AU182" s="82"/>
      <x:c r="AV182" s="82"/>
      <x:c r="AW182" s="82"/>
      <x:c r="AX182" s="82"/>
      <x:c r="AY182" s="82"/>
      <x:c r="AZ182" s="82"/>
      <x:c r="BA182" s="82"/>
      <x:c r="BB182" s="82"/>
      <x:c r="BC182" s="82"/>
      <x:c r="BD182" s="84" t="str">
        <x:f>IFERROR((COUNTIF(AZ182:BC182,"☑ Implémenté")+COUNTIF(AZ182:BC182,"☑ Oui")+0.5*COUNTIF(AZ182:BC182,"◐ Partiel"))/(COUNTIF(AZ182:BC182,"☑ Implémenté")+COUNTIF(AZ182:BC182,"☑ Oui")+COUNTIF(AZ182:BC182,"◐ Partiel")+COUNTIF(AZ182:BC182,"☐ Non implémenté")+COUNTIF(AZ182:BC182,"☐ Non")),"")</x:f>
      </x:c>
      <x:c r="BE182" s="84" t="str">
        <x:f>IFERROR((COUNTIF(H182:BD182,"☑ Implémenté")+COUNTIF(H182:BD182,"☑ Oui")+COUNTIF(H182:BD182,"DevOpsFundation")+0.5*COUNTIF(H182:BD182,"◐ Partiel"))/(COUNTIF(H182:BD182,"☑ Implémenté")+COUNTIF(H182:BD182,"☑ Oui")+COUNTIF(H182:BD182,"DevOpsFundation")+COUNTIF(H182:BD182,"◐ Partiel")+COUNTIF(H182:BD182,"☐ Non implémenté")+COUNTIF(H182:BD182,"☐ Non")),"")</x:f>
      </x:c>
      <x:c r="BF182" s="82" t="str">
        <x:f>IF(B182="","",COUNTIF(H182:BD182,"☐ Non implémenté")+COUNTIF(H182:BD182,"☐ Non")+COUNTIF(H182:BD182,"◐ Partiel"))</x:f>
      </x:c>
      <x:c r="BG182" s="82"/>
    </x:row>
    <x:row r="183">
      <x:c r="A183" s="82"/>
      <x:c r="B183" s="82"/>
      <x:c r="C183" s="82"/>
      <x:c r="D183" s="82"/>
      <x:c r="E183" s="82"/>
      <x:c r="F183" s="82"/>
      <x:c r="G183" s="82"/>
      <x:c r="H183" s="82"/>
      <x:c r="I183" s="82"/>
      <x:c r="J183" s="82"/>
      <x:c r="K183" s="82"/>
      <x:c r="L183" s="82"/>
      <x:c r="M183" s="82"/>
      <x:c r="N183" s="82"/>
      <x:c r="O183" s="82"/>
      <x:c r="P183" s="82"/>
      <x:c r="Q183" s="84" t="str">
        <x:f>IFERROR((COUNTIF(H183:P183,"☑ Implémenté")+COUNTIF(H183:P183,"☑ Oui")+0.5*COUNTIF(H183:P183,"◐ Partiel"))/(COUNTIF(H183:P183,"☑ Implémenté")+COUNTIF(H183:P183,"☑ Oui")+COUNTIF(H183:P183,"◐ Partiel")+COUNTIF(H183:P183,"☐ Non implémenté")+COUNTIF(H183:P183,"☐ Non")),"")</x:f>
      </x:c>
      <x:c r="R183" s="82"/>
      <x:c r="S183" s="82"/>
      <x:c r="T183" s="82"/>
      <x:c r="U183" s="82"/>
      <x:c r="V183" s="84" t="str">
        <x:f>IFERROR((COUNTIF(R183:U183,"☑ Implémenté")+COUNTIF(R183:U183,"☑ Oui")+0.5*COUNTIF(R183:U183,"◐ Partiel"))/(COUNTIF(R183:U183,"☑ Implémenté")+COUNTIF(R183:U183,"☑ Oui")+COUNTIF(R183:U183,"◐ Partiel")+COUNTIF(R183:U183,"☐ Non implémenté")+COUNTIF(R183:U183,"☐ Non")),"")</x:f>
      </x:c>
      <x:c r="W183" s="82"/>
      <x:c r="X183" s="82"/>
      <x:c r="Y183" s="84" t="str">
        <x:f>IFERROR((COUNTIF(W183:X183,"☑ Implémenté")+COUNTIF(W183:X183,"☑ Oui")+0.5*COUNTIF(W183:X183,"◐ Partiel"))/(COUNTIF(W183:X183,"☑ Implémenté")+COUNTIF(W183:X183,"☑ Oui")+COUNTIF(W183:X183,"◐ Partiel")+COUNTIF(W183:X183,"☐ Non implémenté")+COUNTIF(W183:X183,"☐ Non")),"")</x:f>
      </x:c>
      <x:c r="Z183" s="82"/>
      <x:c r="AA183" s="82"/>
      <x:c r="AB183" s="82"/>
      <x:c r="AC183" s="82"/>
      <x:c r="AD183" s="82"/>
      <x:c r="AE183" s="82"/>
      <x:c r="AF183" s="82"/>
      <x:c r="AG183" s="84"/>
      <x:c r="AH183" s="82"/>
      <x:c r="AI183" s="82"/>
      <x:c r="AJ183" s="82"/>
      <x:c r="AK183" s="82"/>
      <x:c r="AL183" s="82"/>
      <x:c r="AM183" s="82"/>
      <x:c r="AN183" s="82"/>
      <x:c r="AO183" s="82"/>
      <x:c r="AP183" s="82"/>
      <x:c r="AQ183" s="82"/>
      <x:c r="AR183" s="82"/>
      <x:c r="AS183" s="82"/>
      <x:c r="AT183" s="82"/>
      <x:c r="AU183" s="82"/>
      <x:c r="AV183" s="82"/>
      <x:c r="AW183" s="82"/>
      <x:c r="AX183" s="82"/>
      <x:c r="AY183" s="82"/>
      <x:c r="AZ183" s="82"/>
      <x:c r="BA183" s="82"/>
      <x:c r="BB183" s="82"/>
      <x:c r="BC183" s="82"/>
      <x:c r="BD183" s="84" t="str">
        <x:f>IFERROR((COUNTIF(AZ183:BC183,"☑ Implémenté")+COUNTIF(AZ183:BC183,"☑ Oui")+0.5*COUNTIF(AZ183:BC183,"◐ Partiel"))/(COUNTIF(AZ183:BC183,"☑ Implémenté")+COUNTIF(AZ183:BC183,"☑ Oui")+COUNTIF(AZ183:BC183,"◐ Partiel")+COUNTIF(AZ183:BC183,"☐ Non implémenté")+COUNTIF(AZ183:BC183,"☐ Non")),"")</x:f>
      </x:c>
      <x:c r="BE183" s="84" t="str">
        <x:f>IFERROR((COUNTIF(H183:BD183,"☑ Implémenté")+COUNTIF(H183:BD183,"☑ Oui")+COUNTIF(H183:BD183,"DevOpsFundation")+0.5*COUNTIF(H183:BD183,"◐ Partiel"))/(COUNTIF(H183:BD183,"☑ Implémenté")+COUNTIF(H183:BD183,"☑ Oui")+COUNTIF(H183:BD183,"DevOpsFundation")+COUNTIF(H183:BD183,"◐ Partiel")+COUNTIF(H183:BD183,"☐ Non implémenté")+COUNTIF(H183:BD183,"☐ Non")),"")</x:f>
      </x:c>
      <x:c r="BF183" s="82" t="str">
        <x:f>IF(B183="","",COUNTIF(H183:BD183,"☐ Non implémenté")+COUNTIF(H183:BD183,"☐ Non")+COUNTIF(H183:BD183,"◐ Partiel"))</x:f>
      </x:c>
      <x:c r="BG183" s="82"/>
    </x:row>
    <x:row r="184">
      <x:c r="A184" s="82"/>
      <x:c r="B184" s="82"/>
      <x:c r="C184" s="82"/>
      <x:c r="D184" s="82"/>
      <x:c r="E184" s="82"/>
      <x:c r="F184" s="82"/>
      <x:c r="G184" s="82"/>
      <x:c r="H184" s="82"/>
      <x:c r="I184" s="82"/>
      <x:c r="J184" s="82"/>
      <x:c r="K184" s="82"/>
      <x:c r="L184" s="82"/>
      <x:c r="M184" s="82"/>
      <x:c r="N184" s="82"/>
      <x:c r="O184" s="82"/>
      <x:c r="P184" s="82"/>
      <x:c r="Q184" s="84" t="str">
        <x:f>IFERROR((COUNTIF(H184:P184,"☑ Implémenté")+COUNTIF(H184:P184,"☑ Oui")+0.5*COUNTIF(H184:P184,"◐ Partiel"))/(COUNTIF(H184:P184,"☑ Implémenté")+COUNTIF(H184:P184,"☑ Oui")+COUNTIF(H184:P184,"◐ Partiel")+COUNTIF(H184:P184,"☐ Non implémenté")+COUNTIF(H184:P184,"☐ Non")),"")</x:f>
      </x:c>
      <x:c r="R184" s="82"/>
      <x:c r="S184" s="82"/>
      <x:c r="T184" s="82"/>
      <x:c r="U184" s="82"/>
      <x:c r="V184" s="84" t="str">
        <x:f>IFERROR((COUNTIF(R184:U184,"☑ Implémenté")+COUNTIF(R184:U184,"☑ Oui")+0.5*COUNTIF(R184:U184,"◐ Partiel"))/(COUNTIF(R184:U184,"☑ Implémenté")+COUNTIF(R184:U184,"☑ Oui")+COUNTIF(R184:U184,"◐ Partiel")+COUNTIF(R184:U184,"☐ Non implémenté")+COUNTIF(R184:U184,"☐ Non")),"")</x:f>
      </x:c>
      <x:c r="W184" s="82"/>
      <x:c r="X184" s="82"/>
      <x:c r="Y184" s="84" t="str">
        <x:f>IFERROR((COUNTIF(W184:X184,"☑ Implémenté")+COUNTIF(W184:X184,"☑ Oui")+0.5*COUNTIF(W184:X184,"◐ Partiel"))/(COUNTIF(W184:X184,"☑ Implémenté")+COUNTIF(W184:X184,"☑ Oui")+COUNTIF(W184:X184,"◐ Partiel")+COUNTIF(W184:X184,"☐ Non implémenté")+COUNTIF(W184:X184,"☐ Non")),"")</x:f>
      </x:c>
      <x:c r="Z184" s="82"/>
      <x:c r="AA184" s="82"/>
      <x:c r="AB184" s="82"/>
      <x:c r="AC184" s="82"/>
      <x:c r="AD184" s="82"/>
      <x:c r="AE184" s="82"/>
      <x:c r="AF184" s="82"/>
      <x:c r="AG184" s="84"/>
      <x:c r="AH184" s="82"/>
      <x:c r="AI184" s="82"/>
      <x:c r="AJ184" s="82"/>
      <x:c r="AK184" s="82"/>
      <x:c r="AL184" s="82"/>
      <x:c r="AM184" s="82"/>
      <x:c r="AN184" s="82"/>
      <x:c r="AO184" s="82"/>
      <x:c r="AP184" s="82"/>
      <x:c r="AQ184" s="82"/>
      <x:c r="AR184" s="82"/>
      <x:c r="AS184" s="82"/>
      <x:c r="AT184" s="82"/>
      <x:c r="AU184" s="82"/>
      <x:c r="AV184" s="82"/>
      <x:c r="AW184" s="82"/>
      <x:c r="AX184" s="82"/>
      <x:c r="AY184" s="82"/>
      <x:c r="AZ184" s="82"/>
      <x:c r="BA184" s="82"/>
      <x:c r="BB184" s="82"/>
      <x:c r="BC184" s="82"/>
      <x:c r="BD184" s="84" t="str">
        <x:f>IFERROR((COUNTIF(AZ184:BC184,"☑ Implémenté")+COUNTIF(AZ184:BC184,"☑ Oui")+0.5*COUNTIF(AZ184:BC184,"◐ Partiel"))/(COUNTIF(AZ184:BC184,"☑ Implémenté")+COUNTIF(AZ184:BC184,"☑ Oui")+COUNTIF(AZ184:BC184,"◐ Partiel")+COUNTIF(AZ184:BC184,"☐ Non implémenté")+COUNTIF(AZ184:BC184,"☐ Non")),"")</x:f>
      </x:c>
      <x:c r="BE184" s="84" t="str">
        <x:f>IFERROR((COUNTIF(H184:BD184,"☑ Implémenté")+COUNTIF(H184:BD184,"☑ Oui")+COUNTIF(H184:BD184,"DevOpsFundation")+0.5*COUNTIF(H184:BD184,"◐ Partiel"))/(COUNTIF(H184:BD184,"☑ Implémenté")+COUNTIF(H184:BD184,"☑ Oui")+COUNTIF(H184:BD184,"DevOpsFundation")+COUNTIF(H184:BD184,"◐ Partiel")+COUNTIF(H184:BD184,"☐ Non implémenté")+COUNTIF(H184:BD184,"☐ Non")),"")</x:f>
      </x:c>
      <x:c r="BF184" s="82" t="str">
        <x:f>IF(B184="","",COUNTIF(H184:BD184,"☐ Non implémenté")+COUNTIF(H184:BD184,"☐ Non")+COUNTIF(H184:BD184,"◐ Partiel"))</x:f>
      </x:c>
      <x:c r="BG184" s="82"/>
    </x:row>
    <x:row r="185">
      <x:c r="A185" s="82"/>
      <x:c r="B185" s="82"/>
      <x:c r="C185" s="82"/>
      <x:c r="D185" s="82"/>
      <x:c r="E185" s="82"/>
      <x:c r="F185" s="82"/>
      <x:c r="G185" s="82"/>
      <x:c r="H185" s="82"/>
      <x:c r="I185" s="82"/>
      <x:c r="J185" s="82"/>
      <x:c r="K185" s="82"/>
      <x:c r="L185" s="82"/>
      <x:c r="M185" s="82"/>
      <x:c r="N185" s="82"/>
      <x:c r="O185" s="82"/>
      <x:c r="P185" s="82"/>
      <x:c r="Q185" s="84" t="str">
        <x:f>IFERROR((COUNTIF(H185:P185,"☑ Implémenté")+COUNTIF(H185:P185,"☑ Oui")+0.5*COUNTIF(H185:P185,"◐ Partiel"))/(COUNTIF(H185:P185,"☑ Implémenté")+COUNTIF(H185:P185,"☑ Oui")+COUNTIF(H185:P185,"◐ Partiel")+COUNTIF(H185:P185,"☐ Non implémenté")+COUNTIF(H185:P185,"☐ Non")),"")</x:f>
      </x:c>
      <x:c r="R185" s="82"/>
      <x:c r="S185" s="82"/>
      <x:c r="T185" s="82"/>
      <x:c r="U185" s="82"/>
      <x:c r="V185" s="84" t="str">
        <x:f>IFERROR((COUNTIF(R185:U185,"☑ Implémenté")+COUNTIF(R185:U185,"☑ Oui")+0.5*COUNTIF(R185:U185,"◐ Partiel"))/(COUNTIF(R185:U185,"☑ Implémenté")+COUNTIF(R185:U185,"☑ Oui")+COUNTIF(R185:U185,"◐ Partiel")+COUNTIF(R185:U185,"☐ Non implémenté")+COUNTIF(R185:U185,"☐ Non")),"")</x:f>
      </x:c>
      <x:c r="W185" s="82"/>
      <x:c r="X185" s="82"/>
      <x:c r="Y185" s="84" t="str">
        <x:f>IFERROR((COUNTIF(W185:X185,"☑ Implémenté")+COUNTIF(W185:X185,"☑ Oui")+0.5*COUNTIF(W185:X185,"◐ Partiel"))/(COUNTIF(W185:X185,"☑ Implémenté")+COUNTIF(W185:X185,"☑ Oui")+COUNTIF(W185:X185,"◐ Partiel")+COUNTIF(W185:X185,"☐ Non implémenté")+COUNTIF(W185:X185,"☐ Non")),"")</x:f>
      </x:c>
      <x:c r="Z185" s="82"/>
      <x:c r="AA185" s="82"/>
      <x:c r="AB185" s="82"/>
      <x:c r="AC185" s="82"/>
      <x:c r="AD185" s="82"/>
      <x:c r="AE185" s="82"/>
      <x:c r="AF185" s="82"/>
      <x:c r="AG185" s="84"/>
      <x:c r="AH185" s="82"/>
      <x:c r="AI185" s="82"/>
      <x:c r="AJ185" s="82"/>
      <x:c r="AK185" s="82"/>
      <x:c r="AL185" s="82"/>
      <x:c r="AM185" s="82"/>
      <x:c r="AN185" s="82"/>
      <x:c r="AO185" s="82"/>
      <x:c r="AP185" s="82"/>
      <x:c r="AQ185" s="82"/>
      <x:c r="AR185" s="82"/>
      <x:c r="AS185" s="82"/>
      <x:c r="AT185" s="82"/>
      <x:c r="AU185" s="82"/>
      <x:c r="AV185" s="82"/>
      <x:c r="AW185" s="82"/>
      <x:c r="AX185" s="82"/>
      <x:c r="AY185" s="82"/>
      <x:c r="AZ185" s="82"/>
      <x:c r="BA185" s="82"/>
      <x:c r="BB185" s="82"/>
      <x:c r="BC185" s="82"/>
      <x:c r="BD185" s="84" t="str">
        <x:f>IFERROR((COUNTIF(AZ185:BC185,"☑ Implémenté")+COUNTIF(AZ185:BC185,"☑ Oui")+0.5*COUNTIF(AZ185:BC185,"◐ Partiel"))/(COUNTIF(AZ185:BC185,"☑ Implémenté")+COUNTIF(AZ185:BC185,"☑ Oui")+COUNTIF(AZ185:BC185,"◐ Partiel")+COUNTIF(AZ185:BC185,"☐ Non implémenté")+COUNTIF(AZ185:BC185,"☐ Non")),"")</x:f>
      </x:c>
      <x:c r="BE185" s="84" t="str">
        <x:f>IFERROR((COUNTIF(H185:BD185,"☑ Implémenté")+COUNTIF(H185:BD185,"☑ Oui")+COUNTIF(H185:BD185,"DevOpsFundation")+0.5*COUNTIF(H185:BD185,"◐ Partiel"))/(COUNTIF(H185:BD185,"☑ Implémenté")+COUNTIF(H185:BD185,"☑ Oui")+COUNTIF(H185:BD185,"DevOpsFundation")+COUNTIF(H185:BD185,"◐ Partiel")+COUNTIF(H185:BD185,"☐ Non implémenté")+COUNTIF(H185:BD185,"☐ Non")),"")</x:f>
      </x:c>
      <x:c r="BF185" s="82" t="str">
        <x:f>IF(B185="","",COUNTIF(H185:BD185,"☐ Non implémenté")+COUNTIF(H185:BD185,"☐ Non")+COUNTIF(H185:BD185,"◐ Partiel"))</x:f>
      </x:c>
      <x:c r="BG185" s="82"/>
    </x:row>
    <x:row r="186">
      <x:c r="A186" s="82"/>
      <x:c r="B186" s="82"/>
      <x:c r="C186" s="82"/>
      <x:c r="D186" s="82"/>
      <x:c r="E186" s="82"/>
      <x:c r="F186" s="82"/>
      <x:c r="G186" s="82"/>
      <x:c r="H186" s="82"/>
      <x:c r="I186" s="82"/>
      <x:c r="J186" s="82"/>
      <x:c r="K186" s="82"/>
      <x:c r="L186" s="82"/>
      <x:c r="M186" s="82"/>
      <x:c r="N186" s="82"/>
      <x:c r="O186" s="82"/>
      <x:c r="P186" s="82"/>
      <x:c r="Q186" s="84" t="str">
        <x:f>IFERROR((COUNTIF(H186:P186,"☑ Implémenté")+COUNTIF(H186:P186,"☑ Oui")+0.5*COUNTIF(H186:P186,"◐ Partiel"))/(COUNTIF(H186:P186,"☑ Implémenté")+COUNTIF(H186:P186,"☑ Oui")+COUNTIF(H186:P186,"◐ Partiel")+COUNTIF(H186:P186,"☐ Non implémenté")+COUNTIF(H186:P186,"☐ Non")),"")</x:f>
      </x:c>
      <x:c r="R186" s="82"/>
      <x:c r="S186" s="82"/>
      <x:c r="T186" s="82"/>
      <x:c r="U186" s="82"/>
      <x:c r="V186" s="84" t="str">
        <x:f>IFERROR((COUNTIF(R186:U186,"☑ Implémenté")+COUNTIF(R186:U186,"☑ Oui")+0.5*COUNTIF(R186:U186,"◐ Partiel"))/(COUNTIF(R186:U186,"☑ Implémenté")+COUNTIF(R186:U186,"☑ Oui")+COUNTIF(R186:U186,"◐ Partiel")+COUNTIF(R186:U186,"☐ Non implémenté")+COUNTIF(R186:U186,"☐ Non")),"")</x:f>
      </x:c>
      <x:c r="W186" s="82"/>
      <x:c r="X186" s="82"/>
      <x:c r="Y186" s="84" t="str">
        <x:f>IFERROR((COUNTIF(W186:X186,"☑ Implémenté")+COUNTIF(W186:X186,"☑ Oui")+0.5*COUNTIF(W186:X186,"◐ Partiel"))/(COUNTIF(W186:X186,"☑ Implémenté")+COUNTIF(W186:X186,"☑ Oui")+COUNTIF(W186:X186,"◐ Partiel")+COUNTIF(W186:X186,"☐ Non implémenté")+COUNTIF(W186:X186,"☐ Non")),"")</x:f>
      </x:c>
      <x:c r="Z186" s="82"/>
      <x:c r="AA186" s="82"/>
      <x:c r="AB186" s="82"/>
      <x:c r="AC186" s="82"/>
      <x:c r="AD186" s="82"/>
      <x:c r="AE186" s="82"/>
      <x:c r="AF186" s="82"/>
      <x:c r="AG186" s="84"/>
      <x:c r="AH186" s="82"/>
      <x:c r="AI186" s="82"/>
      <x:c r="AJ186" s="82"/>
      <x:c r="AK186" s="82"/>
      <x:c r="AL186" s="82"/>
      <x:c r="AM186" s="82"/>
      <x:c r="AN186" s="82"/>
      <x:c r="AO186" s="82"/>
      <x:c r="AP186" s="82"/>
      <x:c r="AQ186" s="82"/>
      <x:c r="AR186" s="82"/>
      <x:c r="AS186" s="82"/>
      <x:c r="AT186" s="82"/>
      <x:c r="AU186" s="82"/>
      <x:c r="AV186" s="82"/>
      <x:c r="AW186" s="82"/>
      <x:c r="AX186" s="82"/>
      <x:c r="AY186" s="82"/>
      <x:c r="AZ186" s="82"/>
      <x:c r="BA186" s="82"/>
      <x:c r="BB186" s="82"/>
      <x:c r="BC186" s="82"/>
      <x:c r="BD186" s="84" t="str">
        <x:f>IFERROR((COUNTIF(AZ186:BC186,"☑ Implémenté")+COUNTIF(AZ186:BC186,"☑ Oui")+0.5*COUNTIF(AZ186:BC186,"◐ Partiel"))/(COUNTIF(AZ186:BC186,"☑ Implémenté")+COUNTIF(AZ186:BC186,"☑ Oui")+COUNTIF(AZ186:BC186,"◐ Partiel")+COUNTIF(AZ186:BC186,"☐ Non implémenté")+COUNTIF(AZ186:BC186,"☐ Non")),"")</x:f>
      </x:c>
      <x:c r="BE186" s="84" t="str">
        <x:f>IFERROR((COUNTIF(H186:BD186,"☑ Implémenté")+COUNTIF(H186:BD186,"☑ Oui")+COUNTIF(H186:BD186,"DevOpsFundation")+0.5*COUNTIF(H186:BD186,"◐ Partiel"))/(COUNTIF(H186:BD186,"☑ Implémenté")+COUNTIF(H186:BD186,"☑ Oui")+COUNTIF(H186:BD186,"DevOpsFundation")+COUNTIF(H186:BD186,"◐ Partiel")+COUNTIF(H186:BD186,"☐ Non implémenté")+COUNTIF(H186:BD186,"☐ Non")),"")</x:f>
      </x:c>
      <x:c r="BF186" s="82" t="str">
        <x:f>IF(B186="","",COUNTIF(H186:BD186,"☐ Non implémenté")+COUNTIF(H186:BD186,"☐ Non")+COUNTIF(H186:BD186,"◐ Partiel"))</x:f>
      </x:c>
      <x:c r="BG186" s="82"/>
    </x:row>
    <x:row r="187">
      <x:c r="A187" s="82"/>
      <x:c r="B187" s="82"/>
      <x:c r="C187" s="82"/>
      <x:c r="D187" s="82"/>
      <x:c r="E187" s="82"/>
      <x:c r="F187" s="82"/>
      <x:c r="G187" s="82"/>
      <x:c r="H187" s="82"/>
      <x:c r="I187" s="82"/>
      <x:c r="J187" s="82"/>
      <x:c r="K187" s="82"/>
      <x:c r="L187" s="82"/>
      <x:c r="M187" s="82"/>
      <x:c r="N187" s="82"/>
      <x:c r="O187" s="82"/>
      <x:c r="P187" s="82"/>
      <x:c r="Q187" s="84" t="str">
        <x:f>IFERROR((COUNTIF(H187:P187,"☑ Implémenté")+COUNTIF(H187:P187,"☑ Oui")+0.5*COUNTIF(H187:P187,"◐ Partiel"))/(COUNTIF(H187:P187,"☑ Implémenté")+COUNTIF(H187:P187,"☑ Oui")+COUNTIF(H187:P187,"◐ Partiel")+COUNTIF(H187:P187,"☐ Non implémenté")+COUNTIF(H187:P187,"☐ Non")),"")</x:f>
      </x:c>
      <x:c r="R187" s="82"/>
      <x:c r="S187" s="82"/>
      <x:c r="T187" s="82"/>
      <x:c r="U187" s="82"/>
      <x:c r="V187" s="84" t="str">
        <x:f>IFERROR((COUNTIF(R187:U187,"☑ Implémenté")+COUNTIF(R187:U187,"☑ Oui")+0.5*COUNTIF(R187:U187,"◐ Partiel"))/(COUNTIF(R187:U187,"☑ Implémenté")+COUNTIF(R187:U187,"☑ Oui")+COUNTIF(R187:U187,"◐ Partiel")+COUNTIF(R187:U187,"☐ Non implémenté")+COUNTIF(R187:U187,"☐ Non")),"")</x:f>
      </x:c>
      <x:c r="W187" s="82"/>
      <x:c r="X187" s="82"/>
      <x:c r="Y187" s="84" t="str">
        <x:f>IFERROR((COUNTIF(W187:X187,"☑ Implémenté")+COUNTIF(W187:X187,"☑ Oui")+0.5*COUNTIF(W187:X187,"◐ Partiel"))/(COUNTIF(W187:X187,"☑ Implémenté")+COUNTIF(W187:X187,"☑ Oui")+COUNTIF(W187:X187,"◐ Partiel")+COUNTIF(W187:X187,"☐ Non implémenté")+COUNTIF(W187:X187,"☐ Non")),"")</x:f>
      </x:c>
      <x:c r="Z187" s="82"/>
      <x:c r="AA187" s="82"/>
      <x:c r="AB187" s="82"/>
      <x:c r="AC187" s="82"/>
      <x:c r="AD187" s="82"/>
      <x:c r="AE187" s="82"/>
      <x:c r="AF187" s="82"/>
      <x:c r="AG187" s="84"/>
      <x:c r="AH187" s="82"/>
      <x:c r="AI187" s="82"/>
      <x:c r="AJ187" s="82"/>
      <x:c r="AK187" s="82"/>
      <x:c r="AL187" s="82"/>
      <x:c r="AM187" s="82"/>
      <x:c r="AN187" s="82"/>
      <x:c r="AO187" s="82"/>
      <x:c r="AP187" s="82"/>
      <x:c r="AQ187" s="82"/>
      <x:c r="AR187" s="82"/>
      <x:c r="AS187" s="82"/>
      <x:c r="AT187" s="82"/>
      <x:c r="AU187" s="82"/>
      <x:c r="AV187" s="82"/>
      <x:c r="AW187" s="82"/>
      <x:c r="AX187" s="82"/>
      <x:c r="AY187" s="82"/>
      <x:c r="AZ187" s="82"/>
      <x:c r="BA187" s="82"/>
      <x:c r="BB187" s="82"/>
      <x:c r="BC187" s="82"/>
      <x:c r="BD187" s="84" t="str">
        <x:f>IFERROR((COUNTIF(AZ187:BC187,"☑ Implémenté")+COUNTIF(AZ187:BC187,"☑ Oui")+0.5*COUNTIF(AZ187:BC187,"◐ Partiel"))/(COUNTIF(AZ187:BC187,"☑ Implémenté")+COUNTIF(AZ187:BC187,"☑ Oui")+COUNTIF(AZ187:BC187,"◐ Partiel")+COUNTIF(AZ187:BC187,"☐ Non implémenté")+COUNTIF(AZ187:BC187,"☐ Non")),"")</x:f>
      </x:c>
      <x:c r="BE187" s="84" t="str">
        <x:f>IFERROR((COUNTIF(H187:BD187,"☑ Implémenté")+COUNTIF(H187:BD187,"☑ Oui")+COUNTIF(H187:BD187,"DevOpsFundation")+0.5*COUNTIF(H187:BD187,"◐ Partiel"))/(COUNTIF(H187:BD187,"☑ Implémenté")+COUNTIF(H187:BD187,"☑ Oui")+COUNTIF(H187:BD187,"DevOpsFundation")+COUNTIF(H187:BD187,"◐ Partiel")+COUNTIF(H187:BD187,"☐ Non implémenté")+COUNTIF(H187:BD187,"☐ Non")),"")</x:f>
      </x:c>
      <x:c r="BF187" s="82" t="str">
        <x:f>IF(B187="","",COUNTIF(H187:BD187,"☐ Non implémenté")+COUNTIF(H187:BD187,"☐ Non")+COUNTIF(H187:BD187,"◐ Partiel"))</x:f>
      </x:c>
      <x:c r="BG187" s="82"/>
    </x:row>
    <x:row r="188">
      <x:c r="A188" s="82"/>
      <x:c r="B188" s="82"/>
      <x:c r="C188" s="82"/>
      <x:c r="D188" s="82"/>
      <x:c r="E188" s="82"/>
      <x:c r="F188" s="82"/>
      <x:c r="G188" s="82"/>
      <x:c r="H188" s="82"/>
      <x:c r="I188" s="82"/>
      <x:c r="J188" s="82"/>
      <x:c r="K188" s="82"/>
      <x:c r="L188" s="82"/>
      <x:c r="M188" s="82"/>
      <x:c r="N188" s="82"/>
      <x:c r="O188" s="82"/>
      <x:c r="P188" s="82"/>
      <x:c r="Q188" s="84" t="str">
        <x:f>IFERROR((COUNTIF(H188:P188,"☑ Implémenté")+COUNTIF(H188:P188,"☑ Oui")+0.5*COUNTIF(H188:P188,"◐ Partiel"))/(COUNTIF(H188:P188,"☑ Implémenté")+COUNTIF(H188:P188,"☑ Oui")+COUNTIF(H188:P188,"◐ Partiel")+COUNTIF(H188:P188,"☐ Non implémenté")+COUNTIF(H188:P188,"☐ Non")),"")</x:f>
      </x:c>
      <x:c r="R188" s="82"/>
      <x:c r="S188" s="82"/>
      <x:c r="T188" s="82"/>
      <x:c r="U188" s="82"/>
      <x:c r="V188" s="84" t="str">
        <x:f>IFERROR((COUNTIF(R188:U188,"☑ Implémenté")+COUNTIF(R188:U188,"☑ Oui")+0.5*COUNTIF(R188:U188,"◐ Partiel"))/(COUNTIF(R188:U188,"☑ Implémenté")+COUNTIF(R188:U188,"☑ Oui")+COUNTIF(R188:U188,"◐ Partiel")+COUNTIF(R188:U188,"☐ Non implémenté")+COUNTIF(R188:U188,"☐ Non")),"")</x:f>
      </x:c>
      <x:c r="W188" s="82"/>
      <x:c r="X188" s="82"/>
      <x:c r="Y188" s="84" t="str">
        <x:f>IFERROR((COUNTIF(W188:X188,"☑ Implémenté")+COUNTIF(W188:X188,"☑ Oui")+0.5*COUNTIF(W188:X188,"◐ Partiel"))/(COUNTIF(W188:X188,"☑ Implémenté")+COUNTIF(W188:X188,"☑ Oui")+COUNTIF(W188:X188,"◐ Partiel")+COUNTIF(W188:X188,"☐ Non implémenté")+COUNTIF(W188:X188,"☐ Non")),"")</x:f>
      </x:c>
      <x:c r="Z188" s="82"/>
      <x:c r="AA188" s="82"/>
      <x:c r="AB188" s="82"/>
      <x:c r="AC188" s="82"/>
      <x:c r="AD188" s="82"/>
      <x:c r="AE188" s="82"/>
      <x:c r="AF188" s="82"/>
      <x:c r="AG188" s="84"/>
      <x:c r="AH188" s="82"/>
      <x:c r="AI188" s="82"/>
      <x:c r="AJ188" s="82"/>
      <x:c r="AK188" s="82"/>
      <x:c r="AL188" s="82"/>
      <x:c r="AM188" s="82"/>
      <x:c r="AN188" s="82"/>
      <x:c r="AO188" s="82"/>
      <x:c r="AP188" s="82"/>
      <x:c r="AQ188" s="82"/>
      <x:c r="AR188" s="82"/>
      <x:c r="AS188" s="82"/>
      <x:c r="AT188" s="82"/>
      <x:c r="AU188" s="82"/>
      <x:c r="AV188" s="82"/>
      <x:c r="AW188" s="82"/>
      <x:c r="AX188" s="82"/>
      <x:c r="AY188" s="82"/>
      <x:c r="AZ188" s="82"/>
      <x:c r="BA188" s="82"/>
      <x:c r="BB188" s="82"/>
      <x:c r="BC188" s="82"/>
      <x:c r="BD188" s="84" t="str">
        <x:f>IFERROR((COUNTIF(AZ188:BC188,"☑ Implémenté")+COUNTIF(AZ188:BC188,"☑ Oui")+0.5*COUNTIF(AZ188:BC188,"◐ Partiel"))/(COUNTIF(AZ188:BC188,"☑ Implémenté")+COUNTIF(AZ188:BC188,"☑ Oui")+COUNTIF(AZ188:BC188,"◐ Partiel")+COUNTIF(AZ188:BC188,"☐ Non implémenté")+COUNTIF(AZ188:BC188,"☐ Non")),"")</x:f>
      </x:c>
      <x:c r="BE188" s="84" t="str">
        <x:f>IFERROR((COUNTIF(H188:BD188,"☑ Implémenté")+COUNTIF(H188:BD188,"☑ Oui")+COUNTIF(H188:BD188,"DevOpsFundation")+0.5*COUNTIF(H188:BD188,"◐ Partiel"))/(COUNTIF(H188:BD188,"☑ Implémenté")+COUNTIF(H188:BD188,"☑ Oui")+COUNTIF(H188:BD188,"DevOpsFundation")+COUNTIF(H188:BD188,"◐ Partiel")+COUNTIF(H188:BD188,"☐ Non implémenté")+COUNTIF(H188:BD188,"☐ Non")),"")</x:f>
      </x:c>
      <x:c r="BF188" s="82" t="str">
        <x:f>IF(B188="","",COUNTIF(H188:BD188,"☐ Non implémenté")+COUNTIF(H188:BD188,"☐ Non")+COUNTIF(H188:BD188,"◐ Partiel"))</x:f>
      </x:c>
      <x:c r="BG188" s="82"/>
    </x:row>
    <x:row r="189">
      <x:c r="A189" s="82"/>
      <x:c r="B189" s="82"/>
      <x:c r="C189" s="82"/>
      <x:c r="D189" s="82"/>
      <x:c r="E189" s="82"/>
      <x:c r="F189" s="82"/>
      <x:c r="G189" s="82"/>
      <x:c r="H189" s="82"/>
      <x:c r="I189" s="82"/>
      <x:c r="J189" s="82"/>
      <x:c r="K189" s="82"/>
      <x:c r="L189" s="82"/>
      <x:c r="M189" s="82"/>
      <x:c r="N189" s="82"/>
      <x:c r="O189" s="82"/>
      <x:c r="P189" s="82"/>
      <x:c r="Q189" s="84" t="str">
        <x:f>IFERROR((COUNTIF(H189:P189,"☑ Implémenté")+COUNTIF(H189:P189,"☑ Oui")+0.5*COUNTIF(H189:P189,"◐ Partiel"))/(COUNTIF(H189:P189,"☑ Implémenté")+COUNTIF(H189:P189,"☑ Oui")+COUNTIF(H189:P189,"◐ Partiel")+COUNTIF(H189:P189,"☐ Non implémenté")+COUNTIF(H189:P189,"☐ Non")),"")</x:f>
      </x:c>
      <x:c r="R189" s="82"/>
      <x:c r="S189" s="82"/>
      <x:c r="T189" s="82"/>
      <x:c r="U189" s="82"/>
      <x:c r="V189" s="84" t="str">
        <x:f>IFERROR((COUNTIF(R189:U189,"☑ Implémenté")+COUNTIF(R189:U189,"☑ Oui")+0.5*COUNTIF(R189:U189,"◐ Partiel"))/(COUNTIF(R189:U189,"☑ Implémenté")+COUNTIF(R189:U189,"☑ Oui")+COUNTIF(R189:U189,"◐ Partiel")+COUNTIF(R189:U189,"☐ Non implémenté")+COUNTIF(R189:U189,"☐ Non")),"")</x:f>
      </x:c>
      <x:c r="W189" s="82"/>
      <x:c r="X189" s="82"/>
      <x:c r="Y189" s="84" t="str">
        <x:f>IFERROR((COUNTIF(W189:X189,"☑ Implémenté")+COUNTIF(W189:X189,"☑ Oui")+0.5*COUNTIF(W189:X189,"◐ Partiel"))/(COUNTIF(W189:X189,"☑ Implémenté")+COUNTIF(W189:X189,"☑ Oui")+COUNTIF(W189:X189,"◐ Partiel")+COUNTIF(W189:X189,"☐ Non implémenté")+COUNTIF(W189:X189,"☐ Non")),"")</x:f>
      </x:c>
      <x:c r="Z189" s="82"/>
      <x:c r="AA189" s="82"/>
      <x:c r="AB189" s="82"/>
      <x:c r="AC189" s="82"/>
      <x:c r="AD189" s="82"/>
      <x:c r="AE189" s="82"/>
      <x:c r="AF189" s="82"/>
      <x:c r="AG189" s="84"/>
      <x:c r="AH189" s="82"/>
      <x:c r="AI189" s="82"/>
      <x:c r="AJ189" s="82"/>
      <x:c r="AK189" s="82"/>
      <x:c r="AL189" s="82"/>
      <x:c r="AM189" s="82"/>
      <x:c r="AN189" s="82"/>
      <x:c r="AO189" s="82"/>
      <x:c r="AP189" s="82"/>
      <x:c r="AQ189" s="82"/>
      <x:c r="AR189" s="82"/>
      <x:c r="AS189" s="82"/>
      <x:c r="AT189" s="82"/>
      <x:c r="AU189" s="82"/>
      <x:c r="AV189" s="82"/>
      <x:c r="AW189" s="82"/>
      <x:c r="AX189" s="82"/>
      <x:c r="AY189" s="82"/>
      <x:c r="AZ189" s="82"/>
      <x:c r="BA189" s="82"/>
      <x:c r="BB189" s="82"/>
      <x:c r="BC189" s="82"/>
      <x:c r="BD189" s="84" t="str">
        <x:f>IFERROR((COUNTIF(AZ189:BC189,"☑ Implémenté")+COUNTIF(AZ189:BC189,"☑ Oui")+0.5*COUNTIF(AZ189:BC189,"◐ Partiel"))/(COUNTIF(AZ189:BC189,"☑ Implémenté")+COUNTIF(AZ189:BC189,"☑ Oui")+COUNTIF(AZ189:BC189,"◐ Partiel")+COUNTIF(AZ189:BC189,"☐ Non implémenté")+COUNTIF(AZ189:BC189,"☐ Non")),"")</x:f>
      </x:c>
      <x:c r="BE189" s="84" t="str">
        <x:f>IFERROR((COUNTIF(H189:BD189,"☑ Implémenté")+COUNTIF(H189:BD189,"☑ Oui")+COUNTIF(H189:BD189,"DevOpsFundation")+0.5*COUNTIF(H189:BD189,"◐ Partiel"))/(COUNTIF(H189:BD189,"☑ Implémenté")+COUNTIF(H189:BD189,"☑ Oui")+COUNTIF(H189:BD189,"DevOpsFundation")+COUNTIF(H189:BD189,"◐ Partiel")+COUNTIF(H189:BD189,"☐ Non implémenté")+COUNTIF(H189:BD189,"☐ Non")),"")</x:f>
      </x:c>
      <x:c r="BF189" s="82" t="str">
        <x:f>IF(B189="","",COUNTIF(H189:BD189,"☐ Non implémenté")+COUNTIF(H189:BD189,"☐ Non")+COUNTIF(H189:BD189,"◐ Partiel"))</x:f>
      </x:c>
      <x:c r="BG189" s="82"/>
    </x:row>
    <x:row r="190">
      <x:c r="A190" s="82"/>
      <x:c r="B190" s="82"/>
      <x:c r="C190" s="82"/>
      <x:c r="D190" s="82"/>
      <x:c r="E190" s="82"/>
      <x:c r="F190" s="82"/>
      <x:c r="G190" s="82"/>
      <x:c r="H190" s="82"/>
      <x:c r="I190" s="82"/>
      <x:c r="J190" s="82"/>
      <x:c r="K190" s="82"/>
      <x:c r="L190" s="82"/>
      <x:c r="M190" s="82"/>
      <x:c r="N190" s="82"/>
      <x:c r="O190" s="82"/>
      <x:c r="P190" s="82"/>
      <x:c r="Q190" s="84" t="str">
        <x:f>IFERROR((COUNTIF(H190:P190,"☑ Implémenté")+COUNTIF(H190:P190,"☑ Oui")+0.5*COUNTIF(H190:P190,"◐ Partiel"))/(COUNTIF(H190:P190,"☑ Implémenté")+COUNTIF(H190:P190,"☑ Oui")+COUNTIF(H190:P190,"◐ Partiel")+COUNTIF(H190:P190,"☐ Non implémenté")+COUNTIF(H190:P190,"☐ Non")),"")</x:f>
      </x:c>
      <x:c r="R190" s="82"/>
      <x:c r="S190" s="82"/>
      <x:c r="T190" s="82"/>
      <x:c r="U190" s="82"/>
      <x:c r="V190" s="84" t="str">
        <x:f>IFERROR((COUNTIF(R190:U190,"☑ Implémenté")+COUNTIF(R190:U190,"☑ Oui")+0.5*COUNTIF(R190:U190,"◐ Partiel"))/(COUNTIF(R190:U190,"☑ Implémenté")+COUNTIF(R190:U190,"☑ Oui")+COUNTIF(R190:U190,"◐ Partiel")+COUNTIF(R190:U190,"☐ Non implémenté")+COUNTIF(R190:U190,"☐ Non")),"")</x:f>
      </x:c>
      <x:c r="W190" s="82"/>
      <x:c r="X190" s="82"/>
      <x:c r="Y190" s="84" t="str">
        <x:f>IFERROR((COUNTIF(W190:X190,"☑ Implémenté")+COUNTIF(W190:X190,"☑ Oui")+0.5*COUNTIF(W190:X190,"◐ Partiel"))/(COUNTIF(W190:X190,"☑ Implémenté")+COUNTIF(W190:X190,"☑ Oui")+COUNTIF(W190:X190,"◐ Partiel")+COUNTIF(W190:X190,"☐ Non implémenté")+COUNTIF(W190:X190,"☐ Non")),"")</x:f>
      </x:c>
      <x:c r="Z190" s="82"/>
      <x:c r="AA190" s="82"/>
      <x:c r="AB190" s="82"/>
      <x:c r="AC190" s="82"/>
      <x:c r="AD190" s="82"/>
      <x:c r="AE190" s="82"/>
      <x:c r="AF190" s="82"/>
      <x:c r="AG190" s="84"/>
      <x:c r="AH190" s="82"/>
      <x:c r="AI190" s="82"/>
      <x:c r="AJ190" s="82"/>
      <x:c r="AK190" s="82"/>
      <x:c r="AL190" s="82"/>
      <x:c r="AM190" s="82"/>
      <x:c r="AN190" s="82"/>
      <x:c r="AO190" s="82"/>
      <x:c r="AP190" s="82"/>
      <x:c r="AQ190" s="82"/>
      <x:c r="AR190" s="82"/>
      <x:c r="AS190" s="82"/>
      <x:c r="AT190" s="82"/>
      <x:c r="AU190" s="82"/>
      <x:c r="AV190" s="82"/>
      <x:c r="AW190" s="82"/>
      <x:c r="AX190" s="82"/>
      <x:c r="AY190" s="82"/>
      <x:c r="AZ190" s="82"/>
      <x:c r="BA190" s="82"/>
      <x:c r="BB190" s="82"/>
      <x:c r="BC190" s="82"/>
      <x:c r="BD190" s="84" t="str">
        <x:f>IFERROR((COUNTIF(AZ190:BC190,"☑ Implémenté")+COUNTIF(AZ190:BC190,"☑ Oui")+0.5*COUNTIF(AZ190:BC190,"◐ Partiel"))/(COUNTIF(AZ190:BC190,"☑ Implémenté")+COUNTIF(AZ190:BC190,"☑ Oui")+COUNTIF(AZ190:BC190,"◐ Partiel")+COUNTIF(AZ190:BC190,"☐ Non implémenté")+COUNTIF(AZ190:BC190,"☐ Non")),"")</x:f>
      </x:c>
      <x:c r="BE190" s="84" t="str">
        <x:f>IFERROR((COUNTIF(H190:BD190,"☑ Implémenté")+COUNTIF(H190:BD190,"☑ Oui")+COUNTIF(H190:BD190,"DevOpsFundation")+0.5*COUNTIF(H190:BD190,"◐ Partiel"))/(COUNTIF(H190:BD190,"☑ Implémenté")+COUNTIF(H190:BD190,"☑ Oui")+COUNTIF(H190:BD190,"DevOpsFundation")+COUNTIF(H190:BD190,"◐ Partiel")+COUNTIF(H190:BD190,"☐ Non implémenté")+COUNTIF(H190:BD190,"☐ Non")),"")</x:f>
      </x:c>
      <x:c r="BF190" s="82" t="str">
        <x:f>IF(B190="","",COUNTIF(H190:BD190,"☐ Non implémenté")+COUNTIF(H190:BD190,"☐ Non")+COUNTIF(H190:BD190,"◐ Partiel"))</x:f>
      </x:c>
      <x:c r="BG190" s="82"/>
    </x:row>
    <x:row r="191">
      <x:c r="A191" s="82"/>
      <x:c r="B191" s="82"/>
      <x:c r="C191" s="82"/>
      <x:c r="D191" s="82"/>
      <x:c r="E191" s="82"/>
      <x:c r="F191" s="82"/>
      <x:c r="G191" s="82"/>
      <x:c r="H191" s="82"/>
      <x:c r="I191" s="82"/>
      <x:c r="J191" s="82"/>
      <x:c r="K191" s="82"/>
      <x:c r="L191" s="82"/>
      <x:c r="M191" s="82"/>
      <x:c r="N191" s="82"/>
      <x:c r="O191" s="82"/>
      <x:c r="P191" s="82"/>
      <x:c r="Q191" s="84" t="str">
        <x:f>IFERROR((COUNTIF(H191:P191,"☑ Implémenté")+COUNTIF(H191:P191,"☑ Oui")+0.5*COUNTIF(H191:P191,"◐ Partiel"))/(COUNTIF(H191:P191,"☑ Implémenté")+COUNTIF(H191:P191,"☑ Oui")+COUNTIF(H191:P191,"◐ Partiel")+COUNTIF(H191:P191,"☐ Non implémenté")+COUNTIF(H191:P191,"☐ Non")),"")</x:f>
      </x:c>
      <x:c r="R191" s="82"/>
      <x:c r="S191" s="82"/>
      <x:c r="T191" s="82"/>
      <x:c r="U191" s="82"/>
      <x:c r="V191" s="84" t="str">
        <x:f>IFERROR((COUNTIF(R191:U191,"☑ Implémenté")+COUNTIF(R191:U191,"☑ Oui")+0.5*COUNTIF(R191:U191,"◐ Partiel"))/(COUNTIF(R191:U191,"☑ Implémenté")+COUNTIF(R191:U191,"☑ Oui")+COUNTIF(R191:U191,"◐ Partiel")+COUNTIF(R191:U191,"☐ Non implémenté")+COUNTIF(R191:U191,"☐ Non")),"")</x:f>
      </x:c>
      <x:c r="W191" s="82"/>
      <x:c r="X191" s="82"/>
      <x:c r="Y191" s="84" t="str">
        <x:f>IFERROR((COUNTIF(W191:X191,"☑ Implémenté")+COUNTIF(W191:X191,"☑ Oui")+0.5*COUNTIF(W191:X191,"◐ Partiel"))/(COUNTIF(W191:X191,"☑ Implémenté")+COUNTIF(W191:X191,"☑ Oui")+COUNTIF(W191:X191,"◐ Partiel")+COUNTIF(W191:X191,"☐ Non implémenté")+COUNTIF(W191:X191,"☐ Non")),"")</x:f>
      </x:c>
      <x:c r="Z191" s="82"/>
      <x:c r="AA191" s="82"/>
      <x:c r="AB191" s="82"/>
      <x:c r="AC191" s="82"/>
      <x:c r="AD191" s="82"/>
      <x:c r="AE191" s="82"/>
      <x:c r="AF191" s="82"/>
      <x:c r="AG191" s="84"/>
      <x:c r="AH191" s="82"/>
      <x:c r="AI191" s="82"/>
      <x:c r="AJ191" s="82"/>
      <x:c r="AK191" s="82"/>
      <x:c r="AL191" s="82"/>
      <x:c r="AM191" s="82"/>
      <x:c r="AN191" s="82"/>
      <x:c r="AO191" s="82"/>
      <x:c r="AP191" s="82"/>
      <x:c r="AQ191" s="82"/>
      <x:c r="AR191" s="82"/>
      <x:c r="AS191" s="82"/>
      <x:c r="AT191" s="82"/>
      <x:c r="AU191" s="82"/>
      <x:c r="AV191" s="82"/>
      <x:c r="AW191" s="82"/>
      <x:c r="AX191" s="82"/>
      <x:c r="AY191" s="82"/>
      <x:c r="AZ191" s="82"/>
      <x:c r="BA191" s="82"/>
      <x:c r="BB191" s="82"/>
      <x:c r="BC191" s="82"/>
      <x:c r="BD191" s="84" t="str">
        <x:f>IFERROR((COUNTIF(AZ191:BC191,"☑ Implémenté")+COUNTIF(AZ191:BC191,"☑ Oui")+0.5*COUNTIF(AZ191:BC191,"◐ Partiel"))/(COUNTIF(AZ191:BC191,"☑ Implémenté")+COUNTIF(AZ191:BC191,"☑ Oui")+COUNTIF(AZ191:BC191,"◐ Partiel")+COUNTIF(AZ191:BC191,"☐ Non implémenté")+COUNTIF(AZ191:BC191,"☐ Non")),"")</x:f>
      </x:c>
      <x:c r="BE191" s="84" t="str">
        <x:f>IFERROR((COUNTIF(H191:BD191,"☑ Implémenté")+COUNTIF(H191:BD191,"☑ Oui")+COUNTIF(H191:BD191,"DevOpsFundation")+0.5*COUNTIF(H191:BD191,"◐ Partiel"))/(COUNTIF(H191:BD191,"☑ Implémenté")+COUNTIF(H191:BD191,"☑ Oui")+COUNTIF(H191:BD191,"DevOpsFundation")+COUNTIF(H191:BD191,"◐ Partiel")+COUNTIF(H191:BD191,"☐ Non implémenté")+COUNTIF(H191:BD191,"☐ Non")),"")</x:f>
      </x:c>
      <x:c r="BF191" s="82" t="str">
        <x:f>IF(B191="","",COUNTIF(H191:BD191,"☐ Non implémenté")+COUNTIF(H191:BD191,"☐ Non")+COUNTIF(H191:BD191,"◐ Partiel"))</x:f>
      </x:c>
      <x:c r="BG191" s="82"/>
    </x:row>
    <x:row r="192">
      <x:c r="A192" s="82"/>
      <x:c r="B192" s="82"/>
      <x:c r="C192" s="82"/>
      <x:c r="D192" s="82"/>
      <x:c r="E192" s="82"/>
      <x:c r="F192" s="82"/>
      <x:c r="G192" s="82"/>
      <x:c r="H192" s="82"/>
      <x:c r="I192" s="82"/>
      <x:c r="J192" s="82"/>
      <x:c r="K192" s="82"/>
      <x:c r="L192" s="82"/>
      <x:c r="M192" s="82"/>
      <x:c r="N192" s="82"/>
      <x:c r="O192" s="82"/>
      <x:c r="P192" s="82"/>
      <x:c r="Q192" s="84" t="str">
        <x:f>IFERROR((COUNTIF(H192:P192,"☑ Implémenté")+COUNTIF(H192:P192,"☑ Oui")+0.5*COUNTIF(H192:P192,"◐ Partiel"))/(COUNTIF(H192:P192,"☑ Implémenté")+COUNTIF(H192:P192,"☑ Oui")+COUNTIF(H192:P192,"◐ Partiel")+COUNTIF(H192:P192,"☐ Non implémenté")+COUNTIF(H192:P192,"☐ Non")),"")</x:f>
      </x:c>
      <x:c r="R192" s="82"/>
      <x:c r="S192" s="82"/>
      <x:c r="T192" s="82"/>
      <x:c r="U192" s="82"/>
      <x:c r="V192" s="84" t="str">
        <x:f>IFERROR((COUNTIF(R192:U192,"☑ Implémenté")+COUNTIF(R192:U192,"☑ Oui")+0.5*COUNTIF(R192:U192,"◐ Partiel"))/(COUNTIF(R192:U192,"☑ Implémenté")+COUNTIF(R192:U192,"☑ Oui")+COUNTIF(R192:U192,"◐ Partiel")+COUNTIF(R192:U192,"☐ Non implémenté")+COUNTIF(R192:U192,"☐ Non")),"")</x:f>
      </x:c>
      <x:c r="W192" s="82"/>
      <x:c r="X192" s="82"/>
      <x:c r="Y192" s="84" t="str">
        <x:f>IFERROR((COUNTIF(W192:X192,"☑ Implémenté")+COUNTIF(W192:X192,"☑ Oui")+0.5*COUNTIF(W192:X192,"◐ Partiel"))/(COUNTIF(W192:X192,"☑ Implémenté")+COUNTIF(W192:X192,"☑ Oui")+COUNTIF(W192:X192,"◐ Partiel")+COUNTIF(W192:X192,"☐ Non implémenté")+COUNTIF(W192:X192,"☐ Non")),"")</x:f>
      </x:c>
      <x:c r="Z192" s="82"/>
      <x:c r="AA192" s="82"/>
      <x:c r="AB192" s="82"/>
      <x:c r="AC192" s="82"/>
      <x:c r="AD192" s="82"/>
      <x:c r="AE192" s="82"/>
      <x:c r="AF192" s="82"/>
      <x:c r="AG192" s="84"/>
      <x:c r="AH192" s="82"/>
      <x:c r="AI192" s="82"/>
      <x:c r="AJ192" s="82"/>
      <x:c r="AK192" s="82"/>
      <x:c r="AL192" s="82"/>
      <x:c r="AM192" s="82"/>
      <x:c r="AN192" s="82"/>
      <x:c r="AO192" s="82"/>
      <x:c r="AP192" s="82"/>
      <x:c r="AQ192" s="82"/>
      <x:c r="AR192" s="82"/>
      <x:c r="AS192" s="82"/>
      <x:c r="AT192" s="82"/>
      <x:c r="AU192" s="82"/>
      <x:c r="AV192" s="82"/>
      <x:c r="AW192" s="82"/>
      <x:c r="AX192" s="82"/>
      <x:c r="AY192" s="82"/>
      <x:c r="AZ192" s="82"/>
      <x:c r="BA192" s="82"/>
      <x:c r="BB192" s="82"/>
      <x:c r="BC192" s="82"/>
      <x:c r="BD192" s="84" t="str">
        <x:f>IFERROR((COUNTIF(AZ192:BC192,"☑ Implémenté")+COUNTIF(AZ192:BC192,"☑ Oui")+0.5*COUNTIF(AZ192:BC192,"◐ Partiel"))/(COUNTIF(AZ192:BC192,"☑ Implémenté")+COUNTIF(AZ192:BC192,"☑ Oui")+COUNTIF(AZ192:BC192,"◐ Partiel")+COUNTIF(AZ192:BC192,"☐ Non implémenté")+COUNTIF(AZ192:BC192,"☐ Non")),"")</x:f>
      </x:c>
      <x:c r="BE192" s="84" t="str">
        <x:f>IFERROR((COUNTIF(H192:BD192,"☑ Implémenté")+COUNTIF(H192:BD192,"☑ Oui")+COUNTIF(H192:BD192,"DevOpsFundation")+0.5*COUNTIF(H192:BD192,"◐ Partiel"))/(COUNTIF(H192:BD192,"☑ Implémenté")+COUNTIF(H192:BD192,"☑ Oui")+COUNTIF(H192:BD192,"DevOpsFundation")+COUNTIF(H192:BD192,"◐ Partiel")+COUNTIF(H192:BD192,"☐ Non implémenté")+COUNTIF(H192:BD192,"☐ Non")),"")</x:f>
      </x:c>
      <x:c r="BF192" s="82" t="str">
        <x:f>IF(B192="","",COUNTIF(H192:BD192,"☐ Non implémenté")+COUNTIF(H192:BD192,"☐ Non")+COUNTIF(H192:BD192,"◐ Partiel"))</x:f>
      </x:c>
      <x:c r="BG192" s="82"/>
    </x:row>
    <x:row r="193">
      <x:c r="A193" s="82"/>
      <x:c r="B193" s="82"/>
      <x:c r="C193" s="82"/>
      <x:c r="D193" s="82"/>
      <x:c r="E193" s="82"/>
      <x:c r="F193" s="82"/>
      <x:c r="G193" s="82"/>
      <x:c r="H193" s="82"/>
      <x:c r="I193" s="82"/>
      <x:c r="J193" s="82"/>
      <x:c r="K193" s="82"/>
      <x:c r="L193" s="82"/>
      <x:c r="M193" s="82"/>
      <x:c r="N193" s="82"/>
      <x:c r="O193" s="82"/>
      <x:c r="P193" s="82"/>
      <x:c r="Q193" s="84" t="str">
        <x:f>IFERROR((COUNTIF(H193:P193,"☑ Implémenté")+COUNTIF(H193:P193,"☑ Oui")+0.5*COUNTIF(H193:P193,"◐ Partiel"))/(COUNTIF(H193:P193,"☑ Implémenté")+COUNTIF(H193:P193,"☑ Oui")+COUNTIF(H193:P193,"◐ Partiel")+COUNTIF(H193:P193,"☐ Non implémenté")+COUNTIF(H193:P193,"☐ Non")),"")</x:f>
      </x:c>
      <x:c r="R193" s="82"/>
      <x:c r="S193" s="82"/>
      <x:c r="T193" s="82"/>
      <x:c r="U193" s="82"/>
      <x:c r="V193" s="84" t="str">
        <x:f>IFERROR((COUNTIF(R193:U193,"☑ Implémenté")+COUNTIF(R193:U193,"☑ Oui")+0.5*COUNTIF(R193:U193,"◐ Partiel"))/(COUNTIF(R193:U193,"☑ Implémenté")+COUNTIF(R193:U193,"☑ Oui")+COUNTIF(R193:U193,"◐ Partiel")+COUNTIF(R193:U193,"☐ Non implémenté")+COUNTIF(R193:U193,"☐ Non")),"")</x:f>
      </x:c>
      <x:c r="W193" s="82"/>
      <x:c r="X193" s="82"/>
      <x:c r="Y193" s="84" t="str">
        <x:f>IFERROR((COUNTIF(W193:X193,"☑ Implémenté")+COUNTIF(W193:X193,"☑ Oui")+0.5*COUNTIF(W193:X193,"◐ Partiel"))/(COUNTIF(W193:X193,"☑ Implémenté")+COUNTIF(W193:X193,"☑ Oui")+COUNTIF(W193:X193,"◐ Partiel")+COUNTIF(W193:X193,"☐ Non implémenté")+COUNTIF(W193:X193,"☐ Non")),"")</x:f>
      </x:c>
      <x:c r="Z193" s="82"/>
      <x:c r="AA193" s="82"/>
      <x:c r="AB193" s="82"/>
      <x:c r="AC193" s="82"/>
      <x:c r="AD193" s="82"/>
      <x:c r="AE193" s="82"/>
      <x:c r="AF193" s="82"/>
      <x:c r="AG193" s="84"/>
      <x:c r="AH193" s="82"/>
      <x:c r="AI193" s="82"/>
      <x:c r="AJ193" s="82"/>
      <x:c r="AK193" s="82"/>
      <x:c r="AL193" s="82"/>
      <x:c r="AM193" s="82"/>
      <x:c r="AN193" s="82"/>
      <x:c r="AO193" s="82"/>
      <x:c r="AP193" s="82"/>
      <x:c r="AQ193" s="82"/>
      <x:c r="AR193" s="82"/>
      <x:c r="AS193" s="82"/>
      <x:c r="AT193" s="82"/>
      <x:c r="AU193" s="82"/>
      <x:c r="AV193" s="82"/>
      <x:c r="AW193" s="82"/>
      <x:c r="AX193" s="82"/>
      <x:c r="AY193" s="82"/>
      <x:c r="AZ193" s="82"/>
      <x:c r="BA193" s="82"/>
      <x:c r="BB193" s="82"/>
      <x:c r="BC193" s="82"/>
      <x:c r="BD193" s="84" t="str">
        <x:f>IFERROR((COUNTIF(AZ193:BC193,"☑ Implémenté")+COUNTIF(AZ193:BC193,"☑ Oui")+0.5*COUNTIF(AZ193:BC193,"◐ Partiel"))/(COUNTIF(AZ193:BC193,"☑ Implémenté")+COUNTIF(AZ193:BC193,"☑ Oui")+COUNTIF(AZ193:BC193,"◐ Partiel")+COUNTIF(AZ193:BC193,"☐ Non implémenté")+COUNTIF(AZ193:BC193,"☐ Non")),"")</x:f>
      </x:c>
      <x:c r="BE193" s="84" t="str">
        <x:f>IFERROR((COUNTIF(H193:BD193,"☑ Implémenté")+COUNTIF(H193:BD193,"☑ Oui")+COUNTIF(H193:BD193,"DevOpsFundation")+0.5*COUNTIF(H193:BD193,"◐ Partiel"))/(COUNTIF(H193:BD193,"☑ Implémenté")+COUNTIF(H193:BD193,"☑ Oui")+COUNTIF(H193:BD193,"DevOpsFundation")+COUNTIF(H193:BD193,"◐ Partiel")+COUNTIF(H193:BD193,"☐ Non implémenté")+COUNTIF(H193:BD193,"☐ Non")),"")</x:f>
      </x:c>
      <x:c r="BF193" s="82" t="str">
        <x:f>IF(B193="","",COUNTIF(H193:BD193,"☐ Non implémenté")+COUNTIF(H193:BD193,"☐ Non")+COUNTIF(H193:BD193,"◐ Partiel"))</x:f>
      </x:c>
      <x:c r="BG193" s="82"/>
    </x:row>
    <x:row r="194">
      <x:c r="A194" s="82"/>
      <x:c r="B194" s="82"/>
      <x:c r="C194" s="82"/>
      <x:c r="D194" s="82"/>
      <x:c r="E194" s="82"/>
      <x:c r="F194" s="82"/>
      <x:c r="G194" s="82"/>
      <x:c r="H194" s="82"/>
      <x:c r="I194" s="82"/>
      <x:c r="J194" s="82"/>
      <x:c r="K194" s="82"/>
      <x:c r="L194" s="82"/>
      <x:c r="M194" s="82"/>
      <x:c r="N194" s="82"/>
      <x:c r="O194" s="82"/>
      <x:c r="P194" s="82"/>
      <x:c r="Q194" s="84" t="str">
        <x:f>IFERROR((COUNTIF(H194:P194,"☑ Implémenté")+COUNTIF(H194:P194,"☑ Oui")+0.5*COUNTIF(H194:P194,"◐ Partiel"))/(COUNTIF(H194:P194,"☑ Implémenté")+COUNTIF(H194:P194,"☑ Oui")+COUNTIF(H194:P194,"◐ Partiel")+COUNTIF(H194:P194,"☐ Non implémenté")+COUNTIF(H194:P194,"☐ Non")),"")</x:f>
      </x:c>
      <x:c r="R194" s="82"/>
      <x:c r="S194" s="82"/>
      <x:c r="T194" s="82"/>
      <x:c r="U194" s="82"/>
      <x:c r="V194" s="84" t="str">
        <x:f>IFERROR((COUNTIF(R194:U194,"☑ Implémenté")+COUNTIF(R194:U194,"☑ Oui")+0.5*COUNTIF(R194:U194,"◐ Partiel"))/(COUNTIF(R194:U194,"☑ Implémenté")+COUNTIF(R194:U194,"☑ Oui")+COUNTIF(R194:U194,"◐ Partiel")+COUNTIF(R194:U194,"☐ Non implémenté")+COUNTIF(R194:U194,"☐ Non")),"")</x:f>
      </x:c>
      <x:c r="W194" s="82"/>
      <x:c r="X194" s="82"/>
      <x:c r="Y194" s="84" t="str">
        <x:f>IFERROR((COUNTIF(W194:X194,"☑ Implémenté")+COUNTIF(W194:X194,"☑ Oui")+0.5*COUNTIF(W194:X194,"◐ Partiel"))/(COUNTIF(W194:X194,"☑ Implémenté")+COUNTIF(W194:X194,"☑ Oui")+COUNTIF(W194:X194,"◐ Partiel")+COUNTIF(W194:X194,"☐ Non implémenté")+COUNTIF(W194:X194,"☐ Non")),"")</x:f>
      </x:c>
      <x:c r="Z194" s="82"/>
      <x:c r="AA194" s="82"/>
      <x:c r="AB194" s="82"/>
      <x:c r="AC194" s="82"/>
      <x:c r="AD194" s="82"/>
      <x:c r="AE194" s="82"/>
      <x:c r="AF194" s="82"/>
      <x:c r="AG194" s="84"/>
      <x:c r="AH194" s="82"/>
      <x:c r="AI194" s="82"/>
      <x:c r="AJ194" s="82"/>
      <x:c r="AK194" s="82"/>
      <x:c r="AL194" s="82"/>
      <x:c r="AM194" s="82"/>
      <x:c r="AN194" s="82"/>
      <x:c r="AO194" s="82"/>
      <x:c r="AP194" s="82"/>
      <x:c r="AQ194" s="82"/>
      <x:c r="AR194" s="82"/>
      <x:c r="AS194" s="82"/>
      <x:c r="AT194" s="82"/>
      <x:c r="AU194" s="82"/>
      <x:c r="AV194" s="82"/>
      <x:c r="AW194" s="82"/>
      <x:c r="AX194" s="82"/>
      <x:c r="AY194" s="82"/>
      <x:c r="AZ194" s="82"/>
      <x:c r="BA194" s="82"/>
      <x:c r="BB194" s="82"/>
      <x:c r="BC194" s="82"/>
      <x:c r="BD194" s="84" t="str">
        <x:f>IFERROR((COUNTIF(AZ194:BC194,"☑ Implémenté")+COUNTIF(AZ194:BC194,"☑ Oui")+0.5*COUNTIF(AZ194:BC194,"◐ Partiel"))/(COUNTIF(AZ194:BC194,"☑ Implémenté")+COUNTIF(AZ194:BC194,"☑ Oui")+COUNTIF(AZ194:BC194,"◐ Partiel")+COUNTIF(AZ194:BC194,"☐ Non implémenté")+COUNTIF(AZ194:BC194,"☐ Non")),"")</x:f>
      </x:c>
      <x:c r="BE194" s="84" t="str">
        <x:f>IFERROR((COUNTIF(H194:BD194,"☑ Implémenté")+COUNTIF(H194:BD194,"☑ Oui")+COUNTIF(H194:BD194,"DevOpsFundation")+0.5*COUNTIF(H194:BD194,"◐ Partiel"))/(COUNTIF(H194:BD194,"☑ Implémenté")+COUNTIF(H194:BD194,"☑ Oui")+COUNTIF(H194:BD194,"DevOpsFundation")+COUNTIF(H194:BD194,"◐ Partiel")+COUNTIF(H194:BD194,"☐ Non implémenté")+COUNTIF(H194:BD194,"☐ Non")),"")</x:f>
      </x:c>
      <x:c r="BF194" s="82" t="str">
        <x:f>IF(B194="","",COUNTIF(H194:BD194,"☐ Non implémenté")+COUNTIF(H194:BD194,"☐ Non")+COUNTIF(H194:BD194,"◐ Partiel"))</x:f>
      </x:c>
      <x:c r="BG194" s="82"/>
    </x:row>
    <x:row r="195">
      <x:c r="A195" s="82"/>
      <x:c r="B195" s="82"/>
      <x:c r="C195" s="82"/>
      <x:c r="D195" s="82"/>
      <x:c r="E195" s="82"/>
      <x:c r="F195" s="82"/>
      <x:c r="G195" s="82"/>
      <x:c r="H195" s="82"/>
      <x:c r="I195" s="82"/>
      <x:c r="J195" s="82"/>
      <x:c r="K195" s="82"/>
      <x:c r="L195" s="82"/>
      <x:c r="M195" s="82"/>
      <x:c r="N195" s="82"/>
      <x:c r="O195" s="82"/>
      <x:c r="P195" s="82"/>
      <x:c r="Q195" s="84" t="str">
        <x:f>IFERROR((COUNTIF(H195:P195,"☑ Implémenté")+COUNTIF(H195:P195,"☑ Oui")+0.5*COUNTIF(H195:P195,"◐ Partiel"))/(COUNTIF(H195:P195,"☑ Implémenté")+COUNTIF(H195:P195,"☑ Oui")+COUNTIF(H195:P195,"◐ Partiel")+COUNTIF(H195:P195,"☐ Non implémenté")+COUNTIF(H195:P195,"☐ Non")),"")</x:f>
      </x:c>
      <x:c r="R195" s="82"/>
      <x:c r="S195" s="82"/>
      <x:c r="T195" s="82"/>
      <x:c r="U195" s="82"/>
      <x:c r="V195" s="84" t="str">
        <x:f>IFERROR((COUNTIF(R195:U195,"☑ Implémenté")+COUNTIF(R195:U195,"☑ Oui")+0.5*COUNTIF(R195:U195,"◐ Partiel"))/(COUNTIF(R195:U195,"☑ Implémenté")+COUNTIF(R195:U195,"☑ Oui")+COUNTIF(R195:U195,"◐ Partiel")+COUNTIF(R195:U195,"☐ Non implémenté")+COUNTIF(R195:U195,"☐ Non")),"")</x:f>
      </x:c>
      <x:c r="W195" s="82"/>
      <x:c r="X195" s="82"/>
      <x:c r="Y195" s="84" t="str">
        <x:f>IFERROR((COUNTIF(W195:X195,"☑ Implémenté")+COUNTIF(W195:X195,"☑ Oui")+0.5*COUNTIF(W195:X195,"◐ Partiel"))/(COUNTIF(W195:X195,"☑ Implémenté")+COUNTIF(W195:X195,"☑ Oui")+COUNTIF(W195:X195,"◐ Partiel")+COUNTIF(W195:X195,"☐ Non implémenté")+COUNTIF(W195:X195,"☐ Non")),"")</x:f>
      </x:c>
      <x:c r="Z195" s="82"/>
      <x:c r="AA195" s="82"/>
      <x:c r="AB195" s="82"/>
      <x:c r="AC195" s="82"/>
      <x:c r="AD195" s="82"/>
      <x:c r="AE195" s="82"/>
      <x:c r="AF195" s="82"/>
      <x:c r="AG195" s="84"/>
      <x:c r="AH195" s="82"/>
      <x:c r="AI195" s="82"/>
      <x:c r="AJ195" s="82"/>
      <x:c r="AK195" s="82"/>
      <x:c r="AL195" s="82"/>
      <x:c r="AM195" s="82"/>
      <x:c r="AN195" s="82"/>
      <x:c r="AO195" s="82"/>
      <x:c r="AP195" s="82"/>
      <x:c r="AQ195" s="82"/>
      <x:c r="AR195" s="82"/>
      <x:c r="AS195" s="82"/>
      <x:c r="AT195" s="82"/>
      <x:c r="AU195" s="82"/>
      <x:c r="AV195" s="82"/>
      <x:c r="AW195" s="82"/>
      <x:c r="AX195" s="82"/>
      <x:c r="AY195" s="82"/>
      <x:c r="AZ195" s="82"/>
      <x:c r="BA195" s="82"/>
      <x:c r="BB195" s="82"/>
      <x:c r="BC195" s="82"/>
      <x:c r="BD195" s="84" t="str">
        <x:f>IFERROR((COUNTIF(AZ195:BC195,"☑ Implémenté")+COUNTIF(AZ195:BC195,"☑ Oui")+0.5*COUNTIF(AZ195:BC195,"◐ Partiel"))/(COUNTIF(AZ195:BC195,"☑ Implémenté")+COUNTIF(AZ195:BC195,"☑ Oui")+COUNTIF(AZ195:BC195,"◐ Partiel")+COUNTIF(AZ195:BC195,"☐ Non implémenté")+COUNTIF(AZ195:BC195,"☐ Non")),"")</x:f>
      </x:c>
      <x:c r="BE195" s="84" t="str">
        <x:f>IFERROR((COUNTIF(H195:BD195,"☑ Implémenté")+COUNTIF(H195:BD195,"☑ Oui")+COUNTIF(H195:BD195,"DevOpsFundation")+0.5*COUNTIF(H195:BD195,"◐ Partiel"))/(COUNTIF(H195:BD195,"☑ Implémenté")+COUNTIF(H195:BD195,"☑ Oui")+COUNTIF(H195:BD195,"DevOpsFundation")+COUNTIF(H195:BD195,"◐ Partiel")+COUNTIF(H195:BD195,"☐ Non implémenté")+COUNTIF(H195:BD195,"☐ Non")),"")</x:f>
      </x:c>
      <x:c r="BF195" s="82" t="str">
        <x:f>IF(B195="","",COUNTIF(H195:BD195,"☐ Non implémenté")+COUNTIF(H195:BD195,"☐ Non")+COUNTIF(H195:BD195,"◐ Partiel"))</x:f>
      </x:c>
      <x:c r="BG195" s="82"/>
    </x:row>
    <x:row r="196">
      <x:c r="A196" s="82"/>
      <x:c r="B196" s="82"/>
      <x:c r="C196" s="82"/>
      <x:c r="D196" s="82"/>
      <x:c r="E196" s="82"/>
      <x:c r="F196" s="82"/>
      <x:c r="G196" s="82"/>
      <x:c r="H196" s="82"/>
      <x:c r="I196" s="82"/>
      <x:c r="J196" s="82"/>
      <x:c r="K196" s="82"/>
      <x:c r="L196" s="82"/>
      <x:c r="M196" s="82"/>
      <x:c r="N196" s="82"/>
      <x:c r="O196" s="82"/>
      <x:c r="P196" s="82"/>
      <x:c r="Q196" s="84" t="str">
        <x:f>IFERROR((COUNTIF(H196:P196,"☑ Implémenté")+COUNTIF(H196:P196,"☑ Oui")+0.5*COUNTIF(H196:P196,"◐ Partiel"))/(COUNTIF(H196:P196,"☑ Implémenté")+COUNTIF(H196:P196,"☑ Oui")+COUNTIF(H196:P196,"◐ Partiel")+COUNTIF(H196:P196,"☐ Non implémenté")+COUNTIF(H196:P196,"☐ Non")),"")</x:f>
      </x:c>
      <x:c r="R196" s="82"/>
      <x:c r="S196" s="82"/>
      <x:c r="T196" s="82"/>
      <x:c r="U196" s="82"/>
      <x:c r="V196" s="84" t="str">
        <x:f>IFERROR((COUNTIF(R196:U196,"☑ Implémenté")+COUNTIF(R196:U196,"☑ Oui")+0.5*COUNTIF(R196:U196,"◐ Partiel"))/(COUNTIF(R196:U196,"☑ Implémenté")+COUNTIF(R196:U196,"☑ Oui")+COUNTIF(R196:U196,"◐ Partiel")+COUNTIF(R196:U196,"☐ Non implémenté")+COUNTIF(R196:U196,"☐ Non")),"")</x:f>
      </x:c>
      <x:c r="W196" s="82"/>
      <x:c r="X196" s="82"/>
      <x:c r="Y196" s="84" t="str">
        <x:f>IFERROR((COUNTIF(W196:X196,"☑ Implémenté")+COUNTIF(W196:X196,"☑ Oui")+0.5*COUNTIF(W196:X196,"◐ Partiel"))/(COUNTIF(W196:X196,"☑ Implémenté")+COUNTIF(W196:X196,"☑ Oui")+COUNTIF(W196:X196,"◐ Partiel")+COUNTIF(W196:X196,"☐ Non implémenté")+COUNTIF(W196:X196,"☐ Non")),"")</x:f>
      </x:c>
      <x:c r="Z196" s="82"/>
      <x:c r="AA196" s="82"/>
      <x:c r="AB196" s="82"/>
      <x:c r="AC196" s="82"/>
      <x:c r="AD196" s="82"/>
      <x:c r="AE196" s="82"/>
      <x:c r="AF196" s="82"/>
      <x:c r="AG196" s="84"/>
      <x:c r="AH196" s="82"/>
      <x:c r="AI196" s="82"/>
      <x:c r="AJ196" s="82"/>
      <x:c r="AK196" s="82"/>
      <x:c r="AL196" s="82"/>
      <x:c r="AM196" s="82"/>
      <x:c r="AN196" s="82"/>
      <x:c r="AO196" s="82"/>
      <x:c r="AP196" s="82"/>
      <x:c r="AQ196" s="82"/>
      <x:c r="AR196" s="82"/>
      <x:c r="AS196" s="82"/>
      <x:c r="AT196" s="82"/>
      <x:c r="AU196" s="82"/>
      <x:c r="AV196" s="82"/>
      <x:c r="AW196" s="82"/>
      <x:c r="AX196" s="82"/>
      <x:c r="AY196" s="82"/>
      <x:c r="AZ196" s="82"/>
      <x:c r="BA196" s="82"/>
      <x:c r="BB196" s="82"/>
      <x:c r="BC196" s="82"/>
      <x:c r="BD196" s="84" t="str">
        <x:f>IFERROR((COUNTIF(AZ196:BC196,"☑ Implémenté")+COUNTIF(AZ196:BC196,"☑ Oui")+0.5*COUNTIF(AZ196:BC196,"◐ Partiel"))/(COUNTIF(AZ196:BC196,"☑ Implémenté")+COUNTIF(AZ196:BC196,"☑ Oui")+COUNTIF(AZ196:BC196,"◐ Partiel")+COUNTIF(AZ196:BC196,"☐ Non implémenté")+COUNTIF(AZ196:BC196,"☐ Non")),"")</x:f>
      </x:c>
      <x:c r="BE196" s="84" t="str">
        <x:f>IFERROR((COUNTIF(H196:BD196,"☑ Implémenté")+COUNTIF(H196:BD196,"☑ Oui")+COUNTIF(H196:BD196,"DevOpsFundation")+0.5*COUNTIF(H196:BD196,"◐ Partiel"))/(COUNTIF(H196:BD196,"☑ Implémenté")+COUNTIF(H196:BD196,"☑ Oui")+COUNTIF(H196:BD196,"DevOpsFundation")+COUNTIF(H196:BD196,"◐ Partiel")+COUNTIF(H196:BD196,"☐ Non implémenté")+COUNTIF(H196:BD196,"☐ Non")),"")</x:f>
      </x:c>
      <x:c r="BF196" s="82" t="str">
        <x:f>IF(B196="","",COUNTIF(H196:BD196,"☐ Non implémenté")+COUNTIF(H196:BD196,"☐ Non")+COUNTIF(H196:BD196,"◐ Partiel"))</x:f>
      </x:c>
      <x:c r="BG196" s="82"/>
    </x:row>
    <x:row r="197">
      <x:c r="A197" s="82"/>
      <x:c r="B197" s="82"/>
      <x:c r="C197" s="82"/>
      <x:c r="D197" s="82"/>
      <x:c r="E197" s="82"/>
      <x:c r="F197" s="82"/>
      <x:c r="G197" s="82"/>
      <x:c r="H197" s="82"/>
      <x:c r="I197" s="82"/>
      <x:c r="J197" s="82"/>
      <x:c r="K197" s="82"/>
      <x:c r="L197" s="82"/>
      <x:c r="M197" s="82"/>
      <x:c r="N197" s="82"/>
      <x:c r="O197" s="82"/>
      <x:c r="P197" s="82"/>
      <x:c r="Q197" s="84" t="str">
        <x:f>IFERROR((COUNTIF(H197:P197,"☑ Implémenté")+COUNTIF(H197:P197,"☑ Oui")+0.5*COUNTIF(H197:P197,"◐ Partiel"))/(COUNTIF(H197:P197,"☑ Implémenté")+COUNTIF(H197:P197,"☑ Oui")+COUNTIF(H197:P197,"◐ Partiel")+COUNTIF(H197:P197,"☐ Non implémenté")+COUNTIF(H197:P197,"☐ Non")),"")</x:f>
      </x:c>
      <x:c r="R197" s="82"/>
      <x:c r="S197" s="82"/>
      <x:c r="T197" s="82"/>
      <x:c r="U197" s="82"/>
      <x:c r="V197" s="84" t="str">
        <x:f>IFERROR((COUNTIF(R197:U197,"☑ Implémenté")+COUNTIF(R197:U197,"☑ Oui")+0.5*COUNTIF(R197:U197,"◐ Partiel"))/(COUNTIF(R197:U197,"☑ Implémenté")+COUNTIF(R197:U197,"☑ Oui")+COUNTIF(R197:U197,"◐ Partiel")+COUNTIF(R197:U197,"☐ Non implémenté")+COUNTIF(R197:U197,"☐ Non")),"")</x:f>
      </x:c>
      <x:c r="W197" s="82"/>
      <x:c r="X197" s="82"/>
      <x:c r="Y197" s="84" t="str">
        <x:f>IFERROR((COUNTIF(W197:X197,"☑ Implémenté")+COUNTIF(W197:X197,"☑ Oui")+0.5*COUNTIF(W197:X197,"◐ Partiel"))/(COUNTIF(W197:X197,"☑ Implémenté")+COUNTIF(W197:X197,"☑ Oui")+COUNTIF(W197:X197,"◐ Partiel")+COUNTIF(W197:X197,"☐ Non implémenté")+COUNTIF(W197:X197,"☐ Non")),"")</x:f>
      </x:c>
      <x:c r="Z197" s="82"/>
      <x:c r="AA197" s="82"/>
      <x:c r="AB197" s="82"/>
      <x:c r="AC197" s="82"/>
      <x:c r="AD197" s="82"/>
      <x:c r="AE197" s="82"/>
      <x:c r="AF197" s="82"/>
      <x:c r="AG197" s="84"/>
      <x:c r="AH197" s="82"/>
      <x:c r="AI197" s="82"/>
      <x:c r="AJ197" s="82"/>
      <x:c r="AK197" s="82"/>
      <x:c r="AL197" s="82"/>
      <x:c r="AM197" s="82"/>
      <x:c r="AN197" s="82"/>
      <x:c r="AO197" s="82"/>
      <x:c r="AP197" s="82"/>
      <x:c r="AQ197" s="82"/>
      <x:c r="AR197" s="82"/>
      <x:c r="AS197" s="82"/>
      <x:c r="AT197" s="82"/>
      <x:c r="AU197" s="82"/>
      <x:c r="AV197" s="82"/>
      <x:c r="AW197" s="82"/>
      <x:c r="AX197" s="82"/>
      <x:c r="AY197" s="82"/>
      <x:c r="AZ197" s="82"/>
      <x:c r="BA197" s="82"/>
      <x:c r="BB197" s="82"/>
      <x:c r="BC197" s="82"/>
      <x:c r="BD197" s="84" t="str">
        <x:f>IFERROR((COUNTIF(AZ197:BC197,"☑ Implémenté")+COUNTIF(AZ197:BC197,"☑ Oui")+0.5*COUNTIF(AZ197:BC197,"◐ Partiel"))/(COUNTIF(AZ197:BC197,"☑ Implémenté")+COUNTIF(AZ197:BC197,"☑ Oui")+COUNTIF(AZ197:BC197,"◐ Partiel")+COUNTIF(AZ197:BC197,"☐ Non implémenté")+COUNTIF(AZ197:BC197,"☐ Non")),"")</x:f>
      </x:c>
      <x:c r="BE197" s="84" t="str">
        <x:f>IFERROR((COUNTIF(H197:BD197,"☑ Implémenté")+COUNTIF(H197:BD197,"☑ Oui")+COUNTIF(H197:BD197,"DevOpsFundation")+0.5*COUNTIF(H197:BD197,"◐ Partiel"))/(COUNTIF(H197:BD197,"☑ Implémenté")+COUNTIF(H197:BD197,"☑ Oui")+COUNTIF(H197:BD197,"DevOpsFundation")+COUNTIF(H197:BD197,"◐ Partiel")+COUNTIF(H197:BD197,"☐ Non implémenté")+COUNTIF(H197:BD197,"☐ Non")),"")</x:f>
      </x:c>
      <x:c r="BF197" s="82" t="str">
        <x:f>IF(B197="","",COUNTIF(H197:BD197,"☐ Non implémenté")+COUNTIF(H197:BD197,"☐ Non")+COUNTIF(H197:BD197,"◐ Partiel"))</x:f>
      </x:c>
      <x:c r="BG197" s="82"/>
    </x:row>
    <x:row r="198">
      <x:c r="A198" s="82"/>
      <x:c r="B198" s="82"/>
      <x:c r="C198" s="82"/>
      <x:c r="D198" s="82"/>
      <x:c r="E198" s="82"/>
      <x:c r="F198" s="82"/>
      <x:c r="G198" s="82"/>
      <x:c r="H198" s="82"/>
      <x:c r="I198" s="82"/>
      <x:c r="J198" s="82"/>
      <x:c r="K198" s="82"/>
      <x:c r="L198" s="82"/>
      <x:c r="M198" s="82"/>
      <x:c r="N198" s="82"/>
      <x:c r="O198" s="82"/>
      <x:c r="P198" s="82"/>
      <x:c r="Q198" s="84" t="str">
        <x:f>IFERROR((COUNTIF(H198:P198,"☑ Implémenté")+COUNTIF(H198:P198,"☑ Oui")+0.5*COUNTIF(H198:P198,"◐ Partiel"))/(COUNTIF(H198:P198,"☑ Implémenté")+COUNTIF(H198:P198,"☑ Oui")+COUNTIF(H198:P198,"◐ Partiel")+COUNTIF(H198:P198,"☐ Non implémenté")+COUNTIF(H198:P198,"☐ Non")),"")</x:f>
      </x:c>
      <x:c r="R198" s="82"/>
      <x:c r="S198" s="82"/>
      <x:c r="T198" s="82"/>
      <x:c r="U198" s="82"/>
      <x:c r="V198" s="84" t="str">
        <x:f>IFERROR((COUNTIF(R198:U198,"☑ Implémenté")+COUNTIF(R198:U198,"☑ Oui")+0.5*COUNTIF(R198:U198,"◐ Partiel"))/(COUNTIF(R198:U198,"☑ Implémenté")+COUNTIF(R198:U198,"☑ Oui")+COUNTIF(R198:U198,"◐ Partiel")+COUNTIF(R198:U198,"☐ Non implémenté")+COUNTIF(R198:U198,"☐ Non")),"")</x:f>
      </x:c>
      <x:c r="W198" s="82"/>
      <x:c r="X198" s="82"/>
      <x:c r="Y198" s="84" t="str">
        <x:f>IFERROR((COUNTIF(W198:X198,"☑ Implémenté")+COUNTIF(W198:X198,"☑ Oui")+0.5*COUNTIF(W198:X198,"◐ Partiel"))/(COUNTIF(W198:X198,"☑ Implémenté")+COUNTIF(W198:X198,"☑ Oui")+COUNTIF(W198:X198,"◐ Partiel")+COUNTIF(W198:X198,"☐ Non implémenté")+COUNTIF(W198:X198,"☐ Non")),"")</x:f>
      </x:c>
      <x:c r="Z198" s="82"/>
      <x:c r="AA198" s="82"/>
      <x:c r="AB198" s="82"/>
      <x:c r="AC198" s="82"/>
      <x:c r="AD198" s="82"/>
      <x:c r="AE198" s="82"/>
      <x:c r="AF198" s="82"/>
      <x:c r="AG198" s="84"/>
      <x:c r="AH198" s="82"/>
      <x:c r="AI198" s="82"/>
      <x:c r="AJ198" s="82"/>
      <x:c r="AK198" s="82"/>
      <x:c r="AL198" s="82"/>
      <x:c r="AM198" s="82"/>
      <x:c r="AN198" s="82"/>
      <x:c r="AO198" s="82"/>
      <x:c r="AP198" s="82"/>
      <x:c r="AQ198" s="82"/>
      <x:c r="AR198" s="82"/>
      <x:c r="AS198" s="82"/>
      <x:c r="AT198" s="82"/>
      <x:c r="AU198" s="82"/>
      <x:c r="AV198" s="82"/>
      <x:c r="AW198" s="82"/>
      <x:c r="AX198" s="82"/>
      <x:c r="AY198" s="82"/>
      <x:c r="AZ198" s="82"/>
      <x:c r="BA198" s="82"/>
      <x:c r="BB198" s="82"/>
      <x:c r="BC198" s="82"/>
      <x:c r="BD198" s="84" t="str">
        <x:f>IFERROR((COUNTIF(AZ198:BC198,"☑ Implémenté")+COUNTIF(AZ198:BC198,"☑ Oui")+0.5*COUNTIF(AZ198:BC198,"◐ Partiel"))/(COUNTIF(AZ198:BC198,"☑ Implémenté")+COUNTIF(AZ198:BC198,"☑ Oui")+COUNTIF(AZ198:BC198,"◐ Partiel")+COUNTIF(AZ198:BC198,"☐ Non implémenté")+COUNTIF(AZ198:BC198,"☐ Non")),"")</x:f>
      </x:c>
      <x:c r="BE198" s="84" t="str">
        <x:f>IFERROR((COUNTIF(H198:BD198,"☑ Implémenté")+COUNTIF(H198:BD198,"☑ Oui")+COUNTIF(H198:BD198,"DevOpsFundation")+0.5*COUNTIF(H198:BD198,"◐ Partiel"))/(COUNTIF(H198:BD198,"☑ Implémenté")+COUNTIF(H198:BD198,"☑ Oui")+COUNTIF(H198:BD198,"DevOpsFundation")+COUNTIF(H198:BD198,"◐ Partiel")+COUNTIF(H198:BD198,"☐ Non implémenté")+COUNTIF(H198:BD198,"☐ Non")),"")</x:f>
      </x:c>
      <x:c r="BF198" s="82" t="str">
        <x:f>IF(B198="","",COUNTIF(H198:BD198,"☐ Non implémenté")+COUNTIF(H198:BD198,"☐ Non")+COUNTIF(H198:BD198,"◐ Partiel"))</x:f>
      </x:c>
      <x:c r="BG198" s="82"/>
    </x:row>
    <x:row r="199">
      <x:c r="A199" s="82"/>
      <x:c r="B199" s="82"/>
      <x:c r="C199" s="82"/>
      <x:c r="D199" s="82"/>
      <x:c r="E199" s="82"/>
      <x:c r="F199" s="82"/>
      <x:c r="G199" s="82"/>
      <x:c r="H199" s="82"/>
      <x:c r="I199" s="82"/>
      <x:c r="J199" s="82"/>
      <x:c r="K199" s="82"/>
      <x:c r="L199" s="82"/>
      <x:c r="M199" s="82"/>
      <x:c r="N199" s="82"/>
      <x:c r="O199" s="82"/>
      <x:c r="P199" s="82"/>
      <x:c r="Q199" s="84" t="str">
        <x:f>IFERROR((COUNTIF(H199:P199,"☑ Implémenté")+COUNTIF(H199:P199,"☑ Oui")+0.5*COUNTIF(H199:P199,"◐ Partiel"))/(COUNTIF(H199:P199,"☑ Implémenté")+COUNTIF(H199:P199,"☑ Oui")+COUNTIF(H199:P199,"◐ Partiel")+COUNTIF(H199:P199,"☐ Non implémenté")+COUNTIF(H199:P199,"☐ Non")),"")</x:f>
      </x:c>
      <x:c r="R199" s="82"/>
      <x:c r="S199" s="82"/>
      <x:c r="T199" s="82"/>
      <x:c r="U199" s="82"/>
      <x:c r="V199" s="84" t="str">
        <x:f>IFERROR((COUNTIF(R199:U199,"☑ Implémenté")+COUNTIF(R199:U199,"☑ Oui")+0.5*COUNTIF(R199:U199,"◐ Partiel"))/(COUNTIF(R199:U199,"☑ Implémenté")+COUNTIF(R199:U199,"☑ Oui")+COUNTIF(R199:U199,"◐ Partiel")+COUNTIF(R199:U199,"☐ Non implémenté")+COUNTIF(R199:U199,"☐ Non")),"")</x:f>
      </x:c>
      <x:c r="W199" s="82"/>
      <x:c r="X199" s="82"/>
      <x:c r="Y199" s="84" t="str">
        <x:f>IFERROR((COUNTIF(W199:X199,"☑ Implémenté")+COUNTIF(W199:X199,"☑ Oui")+0.5*COUNTIF(W199:X199,"◐ Partiel"))/(COUNTIF(W199:X199,"☑ Implémenté")+COUNTIF(W199:X199,"☑ Oui")+COUNTIF(W199:X199,"◐ Partiel")+COUNTIF(W199:X199,"☐ Non implémenté")+COUNTIF(W199:X199,"☐ Non")),"")</x:f>
      </x:c>
      <x:c r="Z199" s="82"/>
      <x:c r="AA199" s="82"/>
      <x:c r="AB199" s="82"/>
      <x:c r="AC199" s="82"/>
      <x:c r="AD199" s="82"/>
      <x:c r="AE199" s="82"/>
      <x:c r="AF199" s="82"/>
      <x:c r="AG199" s="84"/>
      <x:c r="AH199" s="82"/>
      <x:c r="AI199" s="82"/>
      <x:c r="AJ199" s="82"/>
      <x:c r="AK199" s="82"/>
      <x:c r="AL199" s="82"/>
      <x:c r="AM199" s="82"/>
      <x:c r="AN199" s="82"/>
      <x:c r="AO199" s="82"/>
      <x:c r="AP199" s="82"/>
      <x:c r="AQ199" s="82"/>
      <x:c r="AR199" s="82"/>
      <x:c r="AS199" s="82"/>
      <x:c r="AT199" s="82"/>
      <x:c r="AU199" s="82"/>
      <x:c r="AV199" s="82"/>
      <x:c r="AW199" s="82"/>
      <x:c r="AX199" s="82"/>
      <x:c r="AY199" s="82"/>
      <x:c r="AZ199" s="82"/>
      <x:c r="BA199" s="82"/>
      <x:c r="BB199" s="82"/>
      <x:c r="BC199" s="82"/>
      <x:c r="BD199" s="84" t="str">
        <x:f>IFERROR((COUNTIF(AZ199:BC199,"☑ Implémenté")+COUNTIF(AZ199:BC199,"☑ Oui")+0.5*COUNTIF(AZ199:BC199,"◐ Partiel"))/(COUNTIF(AZ199:BC199,"☑ Implémenté")+COUNTIF(AZ199:BC199,"☑ Oui")+COUNTIF(AZ199:BC199,"◐ Partiel")+COUNTIF(AZ199:BC199,"☐ Non implémenté")+COUNTIF(AZ199:BC199,"☐ Non")),"")</x:f>
      </x:c>
      <x:c r="BE199" s="84" t="str">
        <x:f>IFERROR((COUNTIF(H199:BD199,"☑ Implémenté")+COUNTIF(H199:BD199,"☑ Oui")+COUNTIF(H199:BD199,"DevOpsFundation")+0.5*COUNTIF(H199:BD199,"◐ Partiel"))/(COUNTIF(H199:BD199,"☑ Implémenté")+COUNTIF(H199:BD199,"☑ Oui")+COUNTIF(H199:BD199,"DevOpsFundation")+COUNTIF(H199:BD199,"◐ Partiel")+COUNTIF(H199:BD199,"☐ Non implémenté")+COUNTIF(H199:BD199,"☐ Non")),"")</x:f>
      </x:c>
      <x:c r="BF199" s="82" t="str">
        <x:f>IF(B199="","",COUNTIF(H199:BD199,"☐ Non implémenté")+COUNTIF(H199:BD199,"☐ Non")+COUNTIF(H199:BD199,"◐ Partiel"))</x:f>
      </x:c>
      <x:c r="BG199" s="82"/>
    </x:row>
    <x:row r="200">
      <x:c r="A200" s="82"/>
      <x:c r="B200" s="82"/>
      <x:c r="C200" s="82"/>
      <x:c r="D200" s="82"/>
      <x:c r="E200" s="82"/>
      <x:c r="F200" s="82"/>
      <x:c r="G200" s="82"/>
      <x:c r="H200" s="82"/>
      <x:c r="I200" s="82"/>
      <x:c r="J200" s="82"/>
      <x:c r="K200" s="82"/>
      <x:c r="L200" s="82"/>
      <x:c r="M200" s="82"/>
      <x:c r="N200" s="82"/>
      <x:c r="O200" s="82"/>
      <x:c r="P200" s="82"/>
      <x:c r="Q200" s="84" t="str">
        <x:f>IFERROR((COUNTIF(H200:P200,"☑ Implémenté")+COUNTIF(H200:P200,"☑ Oui")+0.5*COUNTIF(H200:P200,"◐ Partiel"))/(COUNTIF(H200:P200,"☑ Implémenté")+COUNTIF(H200:P200,"☑ Oui")+COUNTIF(H200:P200,"◐ Partiel")+COUNTIF(H200:P200,"☐ Non implémenté")+COUNTIF(H200:P200,"☐ Non")),"")</x:f>
      </x:c>
      <x:c r="R200" s="82"/>
      <x:c r="S200" s="82"/>
      <x:c r="T200" s="82"/>
      <x:c r="U200" s="82"/>
      <x:c r="V200" s="84" t="str">
        <x:f>IFERROR((COUNTIF(R200:U200,"☑ Implémenté")+COUNTIF(R200:U200,"☑ Oui")+0.5*COUNTIF(R200:U200,"◐ Partiel"))/(COUNTIF(R200:U200,"☑ Implémenté")+COUNTIF(R200:U200,"☑ Oui")+COUNTIF(R200:U200,"◐ Partiel")+COUNTIF(R200:U200,"☐ Non implémenté")+COUNTIF(R200:U200,"☐ Non")),"")</x:f>
      </x:c>
      <x:c r="W200" s="82"/>
      <x:c r="X200" s="82"/>
      <x:c r="Y200" s="84" t="str">
        <x:f>IFERROR((COUNTIF(W200:X200,"☑ Implémenté")+COUNTIF(W200:X200,"☑ Oui")+0.5*COUNTIF(W200:X200,"◐ Partiel"))/(COUNTIF(W200:X200,"☑ Implémenté")+COUNTIF(W200:X200,"☑ Oui")+COUNTIF(W200:X200,"◐ Partiel")+COUNTIF(W200:X200,"☐ Non implémenté")+COUNTIF(W200:X200,"☐ Non")),"")</x:f>
      </x:c>
      <x:c r="Z200" s="82"/>
      <x:c r="AA200" s="82"/>
      <x:c r="AB200" s="82"/>
      <x:c r="AC200" s="82"/>
      <x:c r="AD200" s="82"/>
      <x:c r="AE200" s="82"/>
      <x:c r="AF200" s="82"/>
      <x:c r="AG200" s="84"/>
      <x:c r="AH200" s="82"/>
      <x:c r="AI200" s="82"/>
      <x:c r="AJ200" s="82"/>
      <x:c r="AK200" s="82"/>
      <x:c r="AL200" s="82"/>
      <x:c r="AM200" s="82"/>
      <x:c r="AN200" s="82"/>
      <x:c r="AO200" s="82"/>
      <x:c r="AP200" s="82"/>
      <x:c r="AQ200" s="82"/>
      <x:c r="AR200" s="82"/>
      <x:c r="AS200" s="82"/>
      <x:c r="AT200" s="82"/>
      <x:c r="AU200" s="82"/>
      <x:c r="AV200" s="82"/>
      <x:c r="AW200" s="82"/>
      <x:c r="AX200" s="82"/>
      <x:c r="AY200" s="82"/>
      <x:c r="AZ200" s="82"/>
      <x:c r="BA200" s="82"/>
      <x:c r="BB200" s="82"/>
      <x:c r="BC200" s="82"/>
      <x:c r="BD200" s="84" t="str">
        <x:f>IFERROR((COUNTIF(AZ200:BC200,"☑ Implémenté")+COUNTIF(AZ200:BC200,"☑ Oui")+0.5*COUNTIF(AZ200:BC200,"◐ Partiel"))/(COUNTIF(AZ200:BC200,"☑ Implémenté")+COUNTIF(AZ200:BC200,"☑ Oui")+COUNTIF(AZ200:BC200,"◐ Partiel")+COUNTIF(AZ200:BC200,"☐ Non implémenté")+COUNTIF(AZ200:BC200,"☐ Non")),"")</x:f>
      </x:c>
      <x:c r="BE200" s="84" t="str">
        <x:f>IFERROR((COUNTIF(H200:BD200,"☑ Implémenté")+COUNTIF(H200:BD200,"☑ Oui")+COUNTIF(H200:BD200,"DevOpsFundation")+0.5*COUNTIF(H200:BD200,"◐ Partiel"))/(COUNTIF(H200:BD200,"☑ Implémenté")+COUNTIF(H200:BD200,"☑ Oui")+COUNTIF(H200:BD200,"DevOpsFundation")+COUNTIF(H200:BD200,"◐ Partiel")+COUNTIF(H200:BD200,"☐ Non implémenté")+COUNTIF(H200:BD200,"☐ Non")),"")</x:f>
      </x:c>
      <x:c r="BF200" s="82" t="str">
        <x:f>IF(B200="","",COUNTIF(H200:BD200,"☐ Non implémenté")+COUNTIF(H200:BD200,"☐ Non")+COUNTIF(H200:BD200,"◐ Partiel"))</x:f>
      </x:c>
      <x:c r="BG200" s="82"/>
    </x:row>
    <x:row r="201">
      <x:c r="A201" s="82"/>
      <x:c r="B201" s="82"/>
      <x:c r="C201" s="82"/>
      <x:c r="D201" s="82"/>
      <x:c r="E201" s="82"/>
      <x:c r="F201" s="82"/>
      <x:c r="G201" s="82"/>
      <x:c r="H201" s="82"/>
      <x:c r="I201" s="82"/>
      <x:c r="J201" s="82"/>
      <x:c r="K201" s="82"/>
      <x:c r="L201" s="82"/>
      <x:c r="M201" s="82"/>
      <x:c r="N201" s="82"/>
      <x:c r="O201" s="82"/>
      <x:c r="P201" s="82"/>
      <x:c r="Q201" s="84" t="str">
        <x:f>IFERROR((COUNTIF(H201:P201,"☑ Implémenté")+COUNTIF(H201:P201,"☑ Oui")+0.5*COUNTIF(H201:P201,"◐ Partiel"))/(COUNTIF(H201:P201,"☑ Implémenté")+COUNTIF(H201:P201,"☑ Oui")+COUNTIF(H201:P201,"◐ Partiel")+COUNTIF(H201:P201,"☐ Non implémenté")+COUNTIF(H201:P201,"☐ Non")),"")</x:f>
      </x:c>
      <x:c r="R201" s="82"/>
      <x:c r="S201" s="82"/>
      <x:c r="T201" s="82"/>
      <x:c r="U201" s="82"/>
      <x:c r="V201" s="84" t="str">
        <x:f>IFERROR((COUNTIF(R201:U201,"☑ Implémenté")+COUNTIF(R201:U201,"☑ Oui")+0.5*COUNTIF(R201:U201,"◐ Partiel"))/(COUNTIF(R201:U201,"☑ Implémenté")+COUNTIF(R201:U201,"☑ Oui")+COUNTIF(R201:U201,"◐ Partiel")+COUNTIF(R201:U201,"☐ Non implémenté")+COUNTIF(R201:U201,"☐ Non")),"")</x:f>
      </x:c>
      <x:c r="W201" s="82"/>
      <x:c r="X201" s="82"/>
      <x:c r="Y201" s="84" t="str">
        <x:f>IFERROR((COUNTIF(W201:X201,"☑ Implémenté")+COUNTIF(W201:X201,"☑ Oui")+0.5*COUNTIF(W201:X201,"◐ Partiel"))/(COUNTIF(W201:X201,"☑ Implémenté")+COUNTIF(W201:X201,"☑ Oui")+COUNTIF(W201:X201,"◐ Partiel")+COUNTIF(W201:X201,"☐ Non implémenté")+COUNTIF(W201:X201,"☐ Non")),"")</x:f>
      </x:c>
      <x:c r="Z201" s="82"/>
      <x:c r="AA201" s="82"/>
      <x:c r="AB201" s="82"/>
      <x:c r="AC201" s="82"/>
      <x:c r="AD201" s="82"/>
      <x:c r="AE201" s="82"/>
      <x:c r="AF201" s="82"/>
      <x:c r="AG201" s="84"/>
      <x:c r="AH201" s="82"/>
      <x:c r="AI201" s="82"/>
      <x:c r="AJ201" s="82"/>
      <x:c r="AK201" s="82"/>
      <x:c r="AL201" s="82"/>
      <x:c r="AM201" s="82"/>
      <x:c r="AN201" s="82"/>
      <x:c r="AO201" s="82"/>
      <x:c r="AP201" s="82"/>
      <x:c r="AQ201" s="82"/>
      <x:c r="AR201" s="82"/>
      <x:c r="AS201" s="82"/>
      <x:c r="AT201" s="82"/>
      <x:c r="AU201" s="82"/>
      <x:c r="AV201" s="82"/>
      <x:c r="AW201" s="82"/>
      <x:c r="AX201" s="82"/>
      <x:c r="AY201" s="82"/>
      <x:c r="AZ201" s="82"/>
      <x:c r="BA201" s="82"/>
      <x:c r="BB201" s="82"/>
      <x:c r="BC201" s="82"/>
      <x:c r="BD201" s="84" t="str">
        <x:f>IFERROR((COUNTIF(AZ201:BC201,"☑ Implémenté")+COUNTIF(AZ201:BC201,"☑ Oui")+0.5*COUNTIF(AZ201:BC201,"◐ Partiel"))/(COUNTIF(AZ201:BC201,"☑ Implémenté")+COUNTIF(AZ201:BC201,"☑ Oui")+COUNTIF(AZ201:BC201,"◐ Partiel")+COUNTIF(AZ201:BC201,"☐ Non implémenté")+COUNTIF(AZ201:BC201,"☐ Non")),"")</x:f>
      </x:c>
      <x:c r="BE201" s="84" t="str">
        <x:f>IFERROR((COUNTIF(H201:BD201,"☑ Implémenté")+COUNTIF(H201:BD201,"☑ Oui")+COUNTIF(H201:BD201,"DevOpsFundation")+0.5*COUNTIF(H201:BD201,"◐ Partiel"))/(COUNTIF(H201:BD201,"☑ Implémenté")+COUNTIF(H201:BD201,"☑ Oui")+COUNTIF(H201:BD201,"DevOpsFundation")+COUNTIF(H201:BD201,"◐ Partiel")+COUNTIF(H201:BD201,"☐ Non implémenté")+COUNTIF(H201:BD201,"☐ Non")),"")</x:f>
      </x:c>
      <x:c r="BF201" s="82" t="str">
        <x:f>IF(B201="","",COUNTIF(H201:BD201,"☐ Non implémenté")+COUNTIF(H201:BD201,"☐ Non")+COUNTIF(H201:BD201,"◐ Partiel"))</x:f>
      </x:c>
      <x:c r="BG201" s="82"/>
    </x:row>
    <x:row r="202">
      <x:c r="A202" s="82"/>
      <x:c r="B202" s="82"/>
      <x:c r="C202" s="82"/>
      <x:c r="D202" s="82"/>
      <x:c r="E202" s="82"/>
      <x:c r="F202" s="82"/>
      <x:c r="G202" s="82"/>
      <x:c r="H202" s="82"/>
      <x:c r="I202" s="82"/>
      <x:c r="J202" s="82"/>
      <x:c r="K202" s="82"/>
      <x:c r="L202" s="82"/>
      <x:c r="M202" s="82"/>
      <x:c r="N202" s="82"/>
      <x:c r="O202" s="82"/>
      <x:c r="P202" s="82"/>
      <x:c r="Q202" s="84" t="str">
        <x:f>IFERROR((COUNTIF(H202:P202,"☑ Implémenté")+COUNTIF(H202:P202,"☑ Oui")+0.5*COUNTIF(H202:P202,"◐ Partiel"))/(COUNTIF(H202:P202,"☑ Implémenté")+COUNTIF(H202:P202,"☑ Oui")+COUNTIF(H202:P202,"◐ Partiel")+COUNTIF(H202:P202,"☐ Non implémenté")+COUNTIF(H202:P202,"☐ Non")),"")</x:f>
      </x:c>
      <x:c r="R202" s="82"/>
      <x:c r="S202" s="82"/>
      <x:c r="T202" s="82"/>
      <x:c r="U202" s="82"/>
      <x:c r="V202" s="84" t="str">
        <x:f>IFERROR((COUNTIF(R202:U202,"☑ Implémenté")+COUNTIF(R202:U202,"☑ Oui")+0.5*COUNTIF(R202:U202,"◐ Partiel"))/(COUNTIF(R202:U202,"☑ Implémenté")+COUNTIF(R202:U202,"☑ Oui")+COUNTIF(R202:U202,"◐ Partiel")+COUNTIF(R202:U202,"☐ Non implémenté")+COUNTIF(R202:U202,"☐ Non")),"")</x:f>
      </x:c>
      <x:c r="W202" s="82"/>
      <x:c r="X202" s="82"/>
      <x:c r="Y202" s="84" t="str">
        <x:f>IFERROR((COUNTIF(W202:X202,"☑ Implémenté")+COUNTIF(W202:X202,"☑ Oui")+0.5*COUNTIF(W202:X202,"◐ Partiel"))/(COUNTIF(W202:X202,"☑ Implémenté")+COUNTIF(W202:X202,"☑ Oui")+COUNTIF(W202:X202,"◐ Partiel")+COUNTIF(W202:X202,"☐ Non implémenté")+COUNTIF(W202:X202,"☐ Non")),"")</x:f>
      </x:c>
      <x:c r="Z202" s="82"/>
      <x:c r="AA202" s="82"/>
      <x:c r="AB202" s="82"/>
      <x:c r="AC202" s="82"/>
      <x:c r="AD202" s="82"/>
      <x:c r="AE202" s="82"/>
      <x:c r="AF202" s="82"/>
      <x:c r="AG202" s="84"/>
      <x:c r="AH202" s="82"/>
      <x:c r="AI202" s="82"/>
      <x:c r="AJ202" s="82"/>
      <x:c r="AK202" s="82"/>
      <x:c r="AL202" s="82"/>
      <x:c r="AM202" s="82"/>
      <x:c r="AN202" s="82"/>
      <x:c r="AO202" s="82"/>
      <x:c r="AP202" s="82"/>
      <x:c r="AQ202" s="82"/>
      <x:c r="AR202" s="82"/>
      <x:c r="AS202" s="82"/>
      <x:c r="AT202" s="82"/>
      <x:c r="AU202" s="82"/>
      <x:c r="AV202" s="82"/>
      <x:c r="AW202" s="82"/>
      <x:c r="AX202" s="82"/>
      <x:c r="AY202" s="82"/>
      <x:c r="AZ202" s="82"/>
      <x:c r="BA202" s="82"/>
      <x:c r="BB202" s="82"/>
      <x:c r="BC202" s="82"/>
      <x:c r="BD202" s="84" t="str">
        <x:f>IFERROR((COUNTIF(AZ202:BC202,"☑ Implémenté")+COUNTIF(AZ202:BC202,"☑ Oui")+0.5*COUNTIF(AZ202:BC202,"◐ Partiel"))/(COUNTIF(AZ202:BC202,"☑ Implémenté")+COUNTIF(AZ202:BC202,"☑ Oui")+COUNTIF(AZ202:BC202,"◐ Partiel")+COUNTIF(AZ202:BC202,"☐ Non implémenté")+COUNTIF(AZ202:BC202,"☐ Non")),"")</x:f>
      </x:c>
      <x:c r="BE202" s="84" t="str">
        <x:f>IFERROR((COUNTIF(H202:BD202,"☑ Implémenté")+COUNTIF(H202:BD202,"☑ Oui")+COUNTIF(H202:BD202,"DevOpsFundation")+0.5*COUNTIF(H202:BD202,"◐ Partiel"))/(COUNTIF(H202:BD202,"☑ Implémenté")+COUNTIF(H202:BD202,"☑ Oui")+COUNTIF(H202:BD202,"DevOpsFundation")+COUNTIF(H202:BD202,"◐ Partiel")+COUNTIF(H202:BD202,"☐ Non implémenté")+COUNTIF(H202:BD202,"☐ Non")),"")</x:f>
      </x:c>
      <x:c r="BF202" s="82" t="str">
        <x:f>IF(B202="","",COUNTIF(H202:BD202,"☐ Non implémenté")+COUNTIF(H202:BD202,"☐ Non")+COUNTIF(H202:BD202,"◐ Partiel"))</x:f>
      </x:c>
      <x:c r="BG202" s="82"/>
    </x:row>
  </x:sheetData>
  <x:mergeCells>
    <x:mergeCell ref="A1:G1"/>
    <x:mergeCell ref="H1:Q1"/>
    <x:mergeCell ref="R1:V1"/>
    <x:mergeCell ref="W1:Y1"/>
    <x:mergeCell ref="Z1:AE1"/>
    <x:mergeCell ref="AF1:AK1"/>
    <x:mergeCell ref="AL1:AY1"/>
    <x:mergeCell ref="AZ1:BD1"/>
    <x:mergeCell ref="BE1:BG1"/>
  </x:mergeCells>
  <x:conditionalFormatting sqref="A3:BG202">
    <x:cfRule type="expression" dxfId="0" priority="1">
      <x:formula>A3="☑ Implémenté"</x:formula>
    </x:cfRule>
    <x:cfRule type="expression" dxfId="1" priority="2">
      <x:formula>A3="☑ Oui"</x:formula>
    </x:cfRule>
    <x:cfRule type="expression" dxfId="2" priority="3">
      <x:formula>A3="DevOpsFundation"</x:formula>
    </x:cfRule>
    <x:cfRule type="expression" dxfId="3" priority="4">
      <x:formula>A3="◐ Partiel"</x:formula>
    </x:cfRule>
    <x:cfRule type="expression" dxfId="4" priority="5">
      <x:formula>A3="☐ Non implémenté"</x:formula>
    </x:cfRule>
    <x:cfRule type="expression" dxfId="5" priority="6">
      <x:formula>A3="☐ Non"</x:formula>
    </x:cfRule>
    <x:cfRule type="expression" dxfId="6" priority="7">
      <x:formula>A3="— N/A"</x:formula>
    </x:cfRule>
    <x:cfRule type="expression" dxfId="7" priority="8">
      <x:formula>A3="? À évaluer"</x:formula>
    </x:cfRule>
  </x:conditionalFormatting>
  <x:conditionalFormatting sqref="Q3:Q202">
    <x:cfRule type="dataBar" priority="15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{7135938A-3A69-6789-A772-A4213EAFF2AA}</x14:id>
        </x:ext>
      </x:extLst>
    </x:cfRule>
  </x:conditionalFormatting>
  <x:conditionalFormatting sqref="V3:V202">
    <x:cfRule type="dataBar" priority="16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{1770373D-AB65-1E43-B14A-92B80616CD5E}</x14:id>
        </x:ext>
      </x:extLst>
    </x:cfRule>
  </x:conditionalFormatting>
  <x:conditionalFormatting sqref="Y3:Y202">
    <x:cfRule type="dataBar" priority="17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{B0615956-3011-8176-48A7-72E0A97F6DB0}</x14:id>
        </x:ext>
      </x:extLst>
    </x:cfRule>
  </x:conditionalFormatting>
  <x:conditionalFormatting sqref="AG3:AG202">
    <x:cfRule type="dataBar" priority="18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{E22D21DB-E3E4-F8BA-F750-92950DC4C6A5}</x14:id>
        </x:ext>
      </x:extLst>
    </x:cfRule>
  </x:conditionalFormatting>
  <x:conditionalFormatting sqref="BD3:BD202">
    <x:cfRule type="dataBar" priority="19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{C77DAD17-42A4-A670-A3D1-C39C192EF861}</x14:id>
        </x:ext>
      </x:extLst>
    </x:cfRule>
  </x:conditionalFormatting>
  <x:conditionalFormatting sqref="BE3:BE202">
    <x:cfRule type="dataBar" priority="20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{3231E953-3EC3-B6C2-E45F-7C9E4D122514}</x14:id>
        </x:ext>
      </x:extLst>
    </x:cfRule>
  </x:conditionalFormatting>
  <x:dataValidations count="47">
    <x:dataValidation type="list" sqref="H3:H202">
      <x:formula1>'03_Referentiels'!$A$2:$A$6</x:formula1>
    </x:dataValidation>
    <x:dataValidation type="list" sqref="I3:I202">
      <x:formula1>'03_Referentiels'!$A$2:$A$6</x:formula1>
    </x:dataValidation>
    <x:dataValidation type="list" sqref="J3:J202">
      <x:formula1>'03_Referentiels'!$A$2:$A$6</x:formula1>
    </x:dataValidation>
    <x:dataValidation type="list" sqref="K3:K202">
      <x:formula1>'03_Referentiels'!$A$2:$A$6</x:formula1>
    </x:dataValidation>
    <x:dataValidation type="list" sqref="L3:L202">
      <x:formula1>'03_Referentiels'!$A$2:$A$6</x:formula1>
    </x:dataValidation>
    <x:dataValidation type="list" sqref="M3:M202">
      <x:formula1>'03_Referentiels'!$A$2:$A$6</x:formula1>
    </x:dataValidation>
    <x:dataValidation type="list" sqref="N3:N202">
      <x:formula1>'03_Referentiels'!$A$2:$A$6</x:formula1>
    </x:dataValidation>
    <x:dataValidation type="list" sqref="O3:O202">
      <x:formula1>'03_Referentiels'!$A$2:$A$6</x:formula1>
    </x:dataValidation>
    <x:dataValidation type="list" sqref="P3:P202">
      <x:formula1>'03_Referentiels'!$A$2:$A$6</x:formula1>
    </x:dataValidation>
    <x:dataValidation type="list" sqref="R3:R202">
      <x:formula1>'03_Referentiels'!$A$2:$A$6</x:formula1>
    </x:dataValidation>
    <x:dataValidation type="list" sqref="S3:S202">
      <x:formula1>'03_Referentiels'!$A$2:$A$6</x:formula1>
    </x:dataValidation>
    <x:dataValidation type="list" sqref="T3:T202">
      <x:formula1>'03_Referentiels'!$A$2:$A$6</x:formula1>
    </x:dataValidation>
    <x:dataValidation type="list" sqref="U3:U202">
      <x:formula1>'03_Referentiels'!$A$2:$A$6</x:formula1>
    </x:dataValidation>
    <x:dataValidation type="list" sqref="W3:W202">
      <x:formula1>'03_Referentiels'!$A$2:$A$6</x:formula1>
    </x:dataValidation>
    <x:dataValidation type="list" sqref="X3:X202">
      <x:formula1>'03_Referentiels'!$A$2:$A$6</x:formula1>
    </x:dataValidation>
    <x:dataValidation type="list" sqref="AB3:AB202">
      <x:formula1>'03_Referentiels'!$A$2:$A$6</x:formula1>
    </x:dataValidation>
    <x:dataValidation type="list" sqref="AF3:AF202">
      <x:formula1>'03_Referentiels'!$A$2:$A$6</x:formula1>
    </x:dataValidation>
    <x:dataValidation type="list" sqref="AH3:AH202">
      <x:formula1>'03_Referentiels'!$A$2:$A$6</x:formula1>
    </x:dataValidation>
    <x:dataValidation type="list" sqref="AI3:AI202">
      <x:formula1>'03_Referentiels'!$A$2:$A$6</x:formula1>
    </x:dataValidation>
    <x:dataValidation type="list" sqref="AK3:AK202">
      <x:formula1>'03_Referentiels'!$A$2:$A$6</x:formula1>
    </x:dataValidation>
    <x:dataValidation type="list" sqref="AL3:AL202">
      <x:formula1>'03_Referentiels'!$A$2:$A$6</x:formula1>
    </x:dataValidation>
    <x:dataValidation type="list" sqref="AO3:AO202">
      <x:formula1>'03_Referentiels'!$A$2:$A$6</x:formula1>
    </x:dataValidation>
    <x:dataValidation type="list" sqref="AW3:AW202">
      <x:formula1>'03_Referentiels'!$A$2:$A$6</x:formula1>
    </x:dataValidation>
    <x:dataValidation type="list" sqref="AX3:AX202">
      <x:formula1>'03_Referentiels'!$A$2:$A$6</x:formula1>
    </x:dataValidation>
    <x:dataValidation type="list" sqref="AY3:AY202">
      <x:formula1>'03_Referentiels'!$A$2:$A$6</x:formula1>
    </x:dataValidation>
    <x:dataValidation type="list" sqref="AZ3:AZ202">
      <x:formula1>'03_Referentiels'!$A$2:$A$6</x:formula1>
    </x:dataValidation>
    <x:dataValidation type="list" sqref="BA3:BA202">
      <x:formula1>'03_Referentiels'!$A$2:$A$6</x:formula1>
    </x:dataValidation>
    <x:dataValidation type="list" sqref="BB3:BB202">
      <x:formula1>'03_Referentiels'!$A$2:$A$6</x:formula1>
    </x:dataValidation>
    <x:dataValidation type="list" sqref="BC3:BC202">
      <x:formula1>'03_Referentiels'!$A$2:$A$6</x:formula1>
    </x:dataValidation>
    <x:dataValidation type="list" sqref="E3:E202">
      <x:formula1>'03_Referentiels'!$F$2:$F$5</x:formula1>
    </x:dataValidation>
    <x:dataValidation type="list" sqref="F3:F202">
      <x:formula1>'03_Referentiels'!$G$2:$G$6</x:formula1>
    </x:dataValidation>
    <x:dataValidation type="list" sqref="G3:G202">
      <x:formula1>'03_Referentiels'!$H$2:$H$5</x:formula1>
    </x:dataValidation>
    <x:dataValidation type="list" sqref="Z3:Z202">
      <x:formula1>'03_Referentiels'!$D$2:$D$6</x:formula1>
    </x:dataValidation>
    <x:dataValidation type="list" sqref="AA3:AA202">
      <x:formula1>'03_Referentiels'!$E$2:$E$5</x:formula1>
    </x:dataValidation>
    <x:dataValidation type="list" sqref="AC3:AC202">
      <x:formula1>'03_Referentiels'!$C$2:$C$5</x:formula1>
    </x:dataValidation>
    <x:dataValidation type="list" sqref="AD3:AD202">
      <x:formula1>'03_Referentiels'!$C$2:$C$5</x:formula1>
    </x:dataValidation>
    <x:dataValidation type="list" sqref="AE3:AE202">
      <x:formula1>'03_Referentiels'!$L$2:$L$6</x:formula1>
    </x:dataValidation>
    <x:dataValidation type="list" sqref="AJ3:AJ202">
      <x:formula1>'03_Referentiels'!$B$2:$B$6</x:formula1>
    </x:dataValidation>
    <x:dataValidation type="list" sqref="AM3:AM202">
      <x:formula1>'03_Referentiels'!$B$2:$B$6</x:formula1>
    </x:dataValidation>
    <x:dataValidation type="list" sqref="AP3:AP202">
      <x:formula1>'03_Referentiels'!$B$2:$B$6</x:formula1>
    </x:dataValidation>
    <x:dataValidation type="list" sqref="AR3:AR202">
      <x:formula1>'03_Referentiels'!$B$2:$B$6</x:formula1>
    </x:dataValidation>
    <x:dataValidation type="list" sqref="AS3:AS202">
      <x:formula1>'03_Referentiels'!$B$2:$B$6</x:formula1>
    </x:dataValidation>
    <x:dataValidation type="list" sqref="AU3:AU202">
      <x:formula1>'03_Referentiels'!$B$2:$B$6</x:formula1>
    </x:dataValidation>
    <x:dataValidation type="list" sqref="AV3:AV202">
      <x:formula1>'03_Referentiels'!$B$2:$B$6</x:formula1>
    </x:dataValidation>
    <x:dataValidation type="list" sqref="AN3:AN202">
      <x:formula1>'03_Referentiels'!$I$2:$I$5</x:formula1>
    </x:dataValidation>
    <x:dataValidation type="list" sqref="AQ3:AQ202">
      <x:formula1>'03_Referentiels'!$J$2:$J$4</x:formula1>
    </x:dataValidation>
    <x:dataValidation type="list" sqref="AT3:AT202">
      <x:formula1>'03_Referentiels'!$K$2:$K$6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5" id="{7135938A-3A69-6789-A772-A4213EAFF2AA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Q3:Q202</xm:sqref>
        </x14:conditionalFormatting>
        <x14:conditionalFormatting>
          <x14:cfRule type="dataBar" priority="16" id="{1770373D-AB65-1E43-B14A-92B80616CD5E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V3:V202</xm:sqref>
        </x14:conditionalFormatting>
        <x14:conditionalFormatting>
          <x14:cfRule type="dataBar" priority="17" id="{B0615956-3011-8176-48A7-72E0A97F6DB0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Y3:Y202</xm:sqref>
        </x14:conditionalFormatting>
        <x14:conditionalFormatting>
          <x14:cfRule type="dataBar" priority="18" id="{E22D21DB-E3E4-F8BA-F750-92950DC4C6A5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AG3:AG202</xm:sqref>
        </x14:conditionalFormatting>
        <x14:conditionalFormatting>
          <x14:cfRule type="dataBar" priority="19" id="{C77DAD17-42A4-A670-A3D1-C39C192EF861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BD3:BD202</xm:sqref>
        </x14:conditionalFormatting>
        <x14:conditionalFormatting>
          <x14:cfRule type="dataBar" priority="20" id="{3231E953-3EC3-B6C2-E45F-7C9E4D122514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BE3:BE202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26" hidden="0" customWidth="1"/>
    <x:col min="5" max="5" width="24" hidden="0" customWidth="1"/>
    <x:col min="6" max="6" width="20" hidden="0" customWidth="1"/>
    <x:col min="7" max="7" width="14" hidden="0" customWidth="1"/>
    <x:col min="8" max="8" width="22" hidden="0" customWidth="1"/>
    <x:col min="9" max="9" width="20" hidden="0" customWidth="1"/>
    <x:col min="10" max="10" width="14" hidden="0" customWidth="1"/>
    <x:col min="11" max="11" width="22" hidden="0" customWidth="1"/>
    <x:col min="12" max="12" width="22" hidden="0" customWidth="1"/>
    <x:col min="13" max="13" width="18" hidden="0" customWidth="1"/>
    <x:col min="14" max="14" width="18" hidden="0" customWidth="1"/>
    <x:col min="15" max="15" width="14" hidden="0" customWidth="1"/>
    <x:col min="16" max="16" width="20" hidden="0" customWidth="1"/>
    <x:col min="17" max="17" width="16" hidden="0" customWidth="1"/>
    <x:col min="18" max="18" width="30" hidden="0" customWidth="1"/>
    <x:col min="19" max="19" width="28" hidden="0" customWidth="1"/>
    <x:col min="20" max="20" width="16" hidden="0" customWidth="1"/>
    <x:col min="21" max="21" width="16" hidden="0" customWidth="1"/>
  </x:cols>
  <x:sheetData>
    <x:row r="1" ht="48" customHeight="1">
      <x:c r="A1" s="124" t="str">
        <x:v>Équipe</x:v>
      </x:c>
      <x:c r="B1" s="124" t="str">
        <x:v>Application</x:v>
      </x:c>
      <x:c r="C1" s="124" t="str">
        <x:v>Code App</x:v>
      </x:c>
      <x:c r="D1" s="125" t="str">
        <x:v>Technologie / produit</x:v>
      </x:c>
      <x:c r="E1" s="125" t="str">
        <x:v>Composant / usage dans l'application</x:v>
      </x:c>
      <x:c r="F1" s="125" t="str">
        <x:v>Type composant</x:v>
      </x:c>
      <x:c r="G1" s="125" t="str">
        <x:v>Version actuelle</x:v>
      </x:c>
      <x:c r="H1" s="125" t="str">
        <x:v>Éditeur / fournisseur</x:v>
      </x:c>
      <x:c r="I1" s="125" t="str">
        <x:v>Statut support</x:v>
      </x:c>
      <x:c r="J1" s="125" t="str">
        <x:v>Date EOL</x:v>
      </x:c>
      <x:c r="K1" s="125" t="str">
        <x:v>Version cible</x:v>
      </x:c>
      <x:c r="L1" s="126" t="str">
        <x:v>Vulnérabilité critique connue ?</x:v>
      </x:c>
      <x:c r="M1" s="126" t="str">
        <x:v>Risque du composant</x:v>
      </x:c>
      <x:c r="N1" s="126" t="str">
        <x:v>Action</x:v>
      </x:c>
      <x:c r="O1" s="126" t="str">
        <x:v>Date cible</x:v>
      </x:c>
      <x:c r="P1" s="126" t="str">
        <x:v>Responsable</x:v>
      </x:c>
      <x:c r="Q1" s="126" t="str">
        <x:v>Statut plan</x:v>
      </x:c>
      <x:c r="R1" s="127" t="str">
        <x:v>Dépendances / contraintes</x:v>
      </x:c>
      <x:c r="S1" s="127" t="str">
        <x:v>Commentaires</x:v>
      </x:c>
      <x:c r="T1" s="128" t="str">
        <x:v>Jours avant EOL</x:v>
      </x:c>
      <x:c r="U1" s="128" t="str">
        <x:v>Alerte EOL</x:v>
      </x:c>
    </x:row>
    <x:row r="2">
      <x:c r="A2" s="82" t="str">
        <x:v>Équipe Exemple</x:v>
      </x:c>
      <x:c r="B2" s="82" t="str">
        <x:v>Portail Exemple</x:v>
      </x:c>
      <x:c r="C2" s="82" t="str">
        <x:v>APP-001</x:v>
      </x:c>
      <x:c r="D2" s="82" t="str">
        <x:v>React</x:v>
      </x:c>
      <x:c r="E2" s="82" t="str">
        <x:v>SPA / interface utilisateur</x:v>
      </x:c>
      <x:c r="F2" s="82" t="str">
        <x:v>Front-end / SPA</x:v>
      </x:c>
      <x:c r="G2" s="82" t="str">
        <x:v>18</x:v>
      </x:c>
      <x:c r="H2" s="82" t="str">
        <x:v>Meta / communauté</x:v>
      </x:c>
      <x:c r="I2" s="82" t="str">
        <x:v>Supporté</x:v>
      </x:c>
      <x:c r="J2" s="110"/>
      <x:c r="K2" s="82" t="str">
        <x:v>Version cible selon roadmap</x:v>
      </x:c>
      <x:c r="L2" s="82" t="str">
        <x:v>Non</x:v>
      </x:c>
      <x:c r="M2" s="82" t="str">
        <x:v>Faible</x:v>
      </x:c>
      <x:c r="N2" s="82" t="str">
        <x:v>Maintenir</x:v>
      </x:c>
      <x:c r="O2" s="110"/>
      <x:c r="P2" s="82" t="str">
        <x:v>Équipe Exemple</x:v>
      </x:c>
      <x:c r="Q2" s="82" t="str">
        <x:v>À analyser</x:v>
      </x:c>
      <x:c r="R2" s="82" t="str">
        <x:v>Dépendances NPM à suivre</x:v>
      </x:c>
      <x:c r="S2" s="82" t="str">
        <x:v>Composant front-end</x:v>
      </x:c>
      <x:c r="T2" s="144" t="str">
        <x:f>IF(J2="","",J2-TODAY())</x:f>
      </x:c>
      <x:c r="U2" s="82" t="str">
        <x:f>IF(J2="","",IF(T2&lt;0,"EOL dépassée",IF(T2&lt;=180,"&lt; 6 mois",IF(T2&lt;=365,"&lt; 12 mois","OK"))))</x:f>
      </x:c>
    </x:row>
    <x:row r="3">
      <x:c r="A3" s="82" t="str">
        <x:v>Équipe Exemple</x:v>
      </x:c>
      <x:c r="B3" s="82" t="str">
        <x:v>Portail Exemple</x:v>
      </x:c>
      <x:c r="C3" s="82" t="str">
        <x:v>APP-001</x:v>
      </x:c>
      <x:c r="D3" s="82" t="str">
        <x:v>.NET</x:v>
      </x:c>
      <x:c r="E3" s="82" t="str">
        <x:v>Backend API</x:v>
      </x:c>
      <x:c r="F3" s="82" t="str">
        <x:v>Runtime</x:v>
      </x:c>
      <x:c r="G3" s="82" t="str">
        <x:v>8.0</x:v>
      </x:c>
      <x:c r="H3" s="82" t="str">
        <x:v>Microsoft</x:v>
      </x:c>
      <x:c r="I3" s="82" t="str">
        <x:v>Supporté</x:v>
      </x:c>
      <x:c r="J3" s="110" t="n">
        <x:v>46701</x:v>
      </x:c>
      <x:c r="K3" s="82" t="str">
        <x:v>Version LTS suivante</x:v>
      </x:c>
      <x:c r="L3" s="82" t="str">
        <x:v>Non</x:v>
      </x:c>
      <x:c r="M3" s="82" t="str">
        <x:v>Moyen</x:v>
      </x:c>
      <x:c r="N3" s="82" t="str">
        <x:v>Mettre à niveau</x:v>
      </x:c>
      <x:c r="O3" s="110" t="n">
        <x:v>46568</x:v>
      </x:c>
      <x:c r="P3" s="82" t="str">
        <x:v>Équipe Exemple</x:v>
      </x:c>
      <x:c r="Q3" s="82" t="str">
        <x:v>Planifié</x:v>
      </x:c>
      <x:c r="R3" s="82" t="str">
        <x:v>Compatibilité packages à vérifier</x:v>
      </x:c>
      <x:c r="S3" s="82" t="str">
        <x:v>Runtime backend</x:v>
      </x:c>
      <x:c r="T3" s="144" t="n">
        <x:f>IF(J3="","",J3-TODAY())</x:f>
        <x:v>434</x:v>
      </x:c>
      <x:c r="U3" s="82" t="str">
        <x:f>IF(J3="","",IF(T3&lt;0,"EOL dépassée",IF(T3&lt;=180,"&lt; 6 mois",IF(T3&lt;=365,"&lt; 12 mois","OK"))))</x:f>
        <x:v>OK</x:v>
      </x:c>
    </x:row>
    <x:row r="4">
      <x:c r="A4" s="82" t="str">
        <x:v>Équipe Exemple</x:v>
      </x:c>
      <x:c r="B4" s="82" t="str">
        <x:v>Portail Exemple</x:v>
      </x:c>
      <x:c r="C4" s="82" t="str">
        <x:v>APP-001</x:v>
      </x:c>
      <x:c r="D4" s="82" t="str">
        <x:v>PostgreSQL</x:v>
      </x:c>
      <x:c r="E4" s="82" t="str">
        <x:v>Base de données applicative</x:v>
      </x:c>
      <x:c r="F4" s="82" t="str">
        <x:v>Base de données</x:v>
      </x:c>
      <x:c r="G4" s="82" t="str">
        <x:v>15</x:v>
      </x:c>
      <x:c r="H4" s="82" t="str">
        <x:v>Communauté / fournisseur</x:v>
      </x:c>
      <x:c r="I4" s="82" t="str">
        <x:v>Supporté</x:v>
      </x:c>
      <x:c r="J4" s="110"/>
      <x:c r="K4" s="82" t="str">
        <x:v>Version cible à définir</x:v>
      </x:c>
      <x:c r="L4" s="82" t="str">
        <x:v>Inconnu</x:v>
      </x:c>
      <x:c r="M4" s="82" t="str">
        <x:v>Faible</x:v>
      </x:c>
      <x:c r="N4" s="82" t="str">
        <x:v>Maintenir</x:v>
      </x:c>
      <x:c r="O4" s="110"/>
      <x:c r="P4" s="82" t="str">
        <x:v>Équipe Exemple</x:v>
      </x:c>
      <x:c r="Q4" s="82" t="str">
        <x:v>À analyser</x:v>
      </x:c>
      <x:c r="R4" s="82" t="str">
        <x:v>Valider politique de support</x:v>
      </x:c>
      <x:c r="S4" s="82" t="str">
        <x:v>BDD</x:v>
      </x:c>
      <x:c r="T4" s="144" t="str">
        <x:f>IF(J4="","",J4-TODAY())</x:f>
      </x:c>
      <x:c r="U4" s="82" t="str">
        <x:f>IF(J4="","",IF(T4&lt;0,"EOL dépassée",IF(T4&lt;=180,"&lt; 6 mois",IF(T4&lt;=365,"&lt; 12 mois","OK"))))</x:f>
      </x:c>
    </x:row>
    <x:row r="5">
      <x:c r="A5" s="82" t="str">
        <x:v>Équipe Exemple</x:v>
      </x:c>
      <x:c r="B5" s="82" t="str">
        <x:v>Portail Exemple</x:v>
      </x:c>
      <x:c r="C5" s="82" t="str">
        <x:v>APP-001</x:v>
      </x:c>
      <x:c r="D5" s="82" t="str">
        <x:v>OpenShift</x:v>
      </x:c>
      <x:c r="E5" s="82" t="str">
        <x:v>Plateforme d'exécution</x:v>
      </x:c>
      <x:c r="F5" s="82" t="str">
        <x:v>Conteneur / plateforme</x:v>
      </x:c>
      <x:c r="G5" s="82" t="str">
        <x:v>4.x</x:v>
      </x:c>
      <x:c r="H5" s="82" t="str">
        <x:v>Red Hat</x:v>
      </x:c>
      <x:c r="I5" s="82" t="str">
        <x:v>Supporté</x:v>
      </x:c>
      <x:c r="J5" s="110"/>
      <x:c r="K5" s="82" t="str">
        <x:v>Version plateforme cible</x:v>
      </x:c>
      <x:c r="L5" s="82" t="str">
        <x:v>Non</x:v>
      </x:c>
      <x:c r="M5" s="82" t="str">
        <x:v>Moyen</x:v>
      </x:c>
      <x:c r="N5" s="82" t="str">
        <x:v>Maintenir</x:v>
      </x:c>
      <x:c r="O5" s="110"/>
      <x:c r="P5" s="82" t="str">
        <x:v>Équipe Plateforme</x:v>
      </x:c>
      <x:c r="Q5" s="82" t="str">
        <x:v>À analyser</x:v>
      </x:c>
      <x:c r="R5" s="82" t="str">
        <x:v>Dépendance roadmap plateforme</x:v>
      </x:c>
      <x:c r="S5" s="82" t="str">
        <x:v>Plateforme</x:v>
      </x:c>
      <x:c r="T5" s="144" t="str">
        <x:f>IF(J5="","",J5-TODAY())</x:f>
      </x:c>
      <x:c r="U5" s="82" t="str">
        <x:f>IF(J5="","",IF(T5&lt;0,"EOL dépassée",IF(T5&lt;=180,"&lt; 6 mois",IF(T5&lt;=365,"&lt; 12 mois","OK"))))</x:f>
      </x:c>
    </x:row>
    <x:row r="6">
      <x:c r="A6" s="82" t="str">
        <x:v>Équipe Exemple</x:v>
      </x:c>
      <x:c r="B6" s="82" t="str">
        <x:v>Portail Exemple</x:v>
      </x:c>
      <x:c r="C6" s="82" t="str">
        <x:v>APP-001</x:v>
      </x:c>
      <x:c r="D6" s="82" t="str">
        <x:v>Bash</x:v>
      </x:c>
      <x:c r="E6" s="82" t="str">
        <x:v>Scripts d'exploitation</x:v>
      </x:c>
      <x:c r="F6" s="82" t="str">
        <x:v>Shell / Script</x:v>
      </x:c>
      <x:c r="G6" s="82" t="str">
        <x:v>5.x</x:v>
      </x:c>
      <x:c r="H6" s="82" t="str">
        <x:v>GNU</x:v>
      </x:c>
      <x:c r="I6" s="82" t="str">
        <x:v>Inconnu</x:v>
      </x:c>
      <x:c r="J6" s="110"/>
      <x:c r="K6" s="82" t="str">
        <x:v>À confirmer</x:v>
      </x:c>
      <x:c r="L6" s="82" t="str">
        <x:v>Inconnu</x:v>
      </x:c>
      <x:c r="M6" s="82" t="str">
        <x:v>Moyen</x:v>
      </x:c>
      <x:c r="N6" s="82" t="str">
        <x:v>Maintenir</x:v>
      </x:c>
      <x:c r="O6" s="110"/>
      <x:c r="P6" s="82" t="str">
        <x:v>Équipe Exemple</x:v>
      </x:c>
      <x:c r="Q6" s="82" t="str">
        <x:v>À analyser</x:v>
      </x:c>
      <x:c r="R6" s="82" t="str">
        <x:v>Inventaire scripts à compléter</x:v>
      </x:c>
      <x:c r="S6" s="82" t="str">
        <x:v>Scripts</x:v>
      </x:c>
      <x:c r="T6" s="144" t="str">
        <x:f>IF(J6="","",J6-TODAY())</x:f>
      </x:c>
      <x:c r="U6" s="82" t="str">
        <x:f>IF(J6="","",IF(T6&lt;0,"EOL dépassée",IF(T6&lt;=180,"&lt; 6 mois",IF(T6&lt;=365,"&lt; 12 mois","OK"))))</x:f>
      </x:c>
    </x:row>
    <x:row r="7">
      <x:c r="A7" s="82"/>
      <x:c r="B7" s="82"/>
      <x:c r="C7" s="82"/>
      <x:c r="D7" s="82"/>
      <x:c r="E7" s="82"/>
      <x:c r="F7" s="82"/>
      <x:c r="G7" s="82"/>
      <x:c r="H7" s="82"/>
      <x:c r="I7" s="82"/>
      <x:c r="J7" s="110"/>
      <x:c r="K7" s="82"/>
      <x:c r="L7" s="82"/>
      <x:c r="M7" s="82"/>
      <x:c r="N7" s="82"/>
      <x:c r="O7" s="110"/>
      <x:c r="P7" s="82"/>
      <x:c r="Q7" s="82"/>
      <x:c r="R7" s="82"/>
      <x:c r="S7" s="82"/>
      <x:c r="T7" s="144" t="str">
        <x:f>IF(J7="","",J7-TODAY())</x:f>
      </x:c>
      <x:c r="U7" s="82" t="str">
        <x:f>IF(J7="","",IF(T7&lt;0,"EOL dépassée",IF(T7&lt;=180,"&lt; 6 mois",IF(T7&lt;=365,"&lt; 12 mois","OK"))))</x:f>
      </x:c>
    </x:row>
    <x:row r="8">
      <x:c r="A8" s="82"/>
      <x:c r="B8" s="82"/>
      <x:c r="C8" s="82"/>
      <x:c r="D8" s="82"/>
      <x:c r="E8" s="82"/>
      <x:c r="F8" s="82"/>
      <x:c r="G8" s="82"/>
      <x:c r="H8" s="82"/>
      <x:c r="I8" s="82"/>
      <x:c r="J8" s="110"/>
      <x:c r="K8" s="82"/>
      <x:c r="L8" s="82"/>
      <x:c r="M8" s="82"/>
      <x:c r="N8" s="82"/>
      <x:c r="O8" s="110"/>
      <x:c r="P8" s="82"/>
      <x:c r="Q8" s="82"/>
      <x:c r="R8" s="82"/>
      <x:c r="S8" s="82"/>
      <x:c r="T8" s="144" t="str">
        <x:f>IF(J8="","",J8-TODAY())</x:f>
      </x:c>
      <x:c r="U8" s="82" t="str">
        <x:f>IF(J8="","",IF(T8&lt;0,"EOL dépassée",IF(T8&lt;=180,"&lt; 6 mois",IF(T8&lt;=365,"&lt; 12 mois","OK"))))</x:f>
      </x:c>
    </x:row>
    <x:row r="9">
      <x:c r="A9" s="82"/>
      <x:c r="B9" s="82"/>
      <x:c r="C9" s="82"/>
      <x:c r="D9" s="82"/>
      <x:c r="E9" s="82"/>
      <x:c r="F9" s="82"/>
      <x:c r="G9" s="82"/>
      <x:c r="H9" s="82"/>
      <x:c r="I9" s="82"/>
      <x:c r="J9" s="110"/>
      <x:c r="K9" s="82"/>
      <x:c r="L9" s="82"/>
      <x:c r="M9" s="82"/>
      <x:c r="N9" s="82"/>
      <x:c r="O9" s="110"/>
      <x:c r="P9" s="82"/>
      <x:c r="Q9" s="82"/>
      <x:c r="R9" s="82"/>
      <x:c r="S9" s="82"/>
      <x:c r="T9" s="144" t="str">
        <x:f>IF(J9="","",J9-TODAY())</x:f>
      </x:c>
      <x:c r="U9" s="82" t="str">
        <x:f>IF(J9="","",IF(T9&lt;0,"EOL dépassée",IF(T9&lt;=180,"&lt; 6 mois",IF(T9&lt;=365,"&lt; 12 mois","OK"))))</x:f>
      </x:c>
    </x:row>
    <x:row r="10">
      <x:c r="A10" s="82"/>
      <x:c r="B10" s="82"/>
      <x:c r="C10" s="82"/>
      <x:c r="D10" s="82"/>
      <x:c r="E10" s="82"/>
      <x:c r="F10" s="82"/>
      <x:c r="G10" s="82"/>
      <x:c r="H10" s="82"/>
      <x:c r="I10" s="82"/>
      <x:c r="J10" s="110"/>
      <x:c r="K10" s="82"/>
      <x:c r="L10" s="82"/>
      <x:c r="M10" s="82"/>
      <x:c r="N10" s="82"/>
      <x:c r="O10" s="110"/>
      <x:c r="P10" s="82"/>
      <x:c r="Q10" s="82"/>
      <x:c r="R10" s="82"/>
      <x:c r="S10" s="82"/>
      <x:c r="T10" s="144" t="str">
        <x:f>IF(J10="","",J10-TODAY())</x:f>
      </x:c>
      <x:c r="U10" s="82" t="str">
        <x:f>IF(J10="","",IF(T10&lt;0,"EOL dépassée",IF(T10&lt;=180,"&lt; 6 mois",IF(T10&lt;=365,"&lt; 12 mois","OK"))))</x:f>
      </x:c>
    </x:row>
    <x:row r="11">
      <x:c r="A11" s="82"/>
      <x:c r="B11" s="82"/>
      <x:c r="C11" s="82"/>
      <x:c r="D11" s="82"/>
      <x:c r="E11" s="82"/>
      <x:c r="F11" s="82"/>
      <x:c r="G11" s="82"/>
      <x:c r="H11" s="82"/>
      <x:c r="I11" s="82"/>
      <x:c r="J11" s="110"/>
      <x:c r="K11" s="82"/>
      <x:c r="L11" s="82"/>
      <x:c r="M11" s="82"/>
      <x:c r="N11" s="82"/>
      <x:c r="O11" s="110"/>
      <x:c r="P11" s="82"/>
      <x:c r="Q11" s="82"/>
      <x:c r="R11" s="82"/>
      <x:c r="S11" s="82"/>
      <x:c r="T11" s="144" t="str">
        <x:f>IF(J11="","",J11-TODAY())</x:f>
      </x:c>
      <x:c r="U11" s="82" t="str">
        <x:f>IF(J11="","",IF(T11&lt;0,"EOL dépassée",IF(T11&lt;=180,"&lt; 6 mois",IF(T11&lt;=365,"&lt; 12 mois","OK"))))</x:f>
      </x:c>
    </x:row>
    <x:row r="12">
      <x:c r="A12" s="82"/>
      <x:c r="B12" s="82"/>
      <x:c r="C12" s="82"/>
      <x:c r="D12" s="82"/>
      <x:c r="E12" s="82"/>
      <x:c r="F12" s="82"/>
      <x:c r="G12" s="82"/>
      <x:c r="H12" s="82"/>
      <x:c r="I12" s="82"/>
      <x:c r="J12" s="110"/>
      <x:c r="K12" s="82"/>
      <x:c r="L12" s="82"/>
      <x:c r="M12" s="82"/>
      <x:c r="N12" s="82"/>
      <x:c r="O12" s="110"/>
      <x:c r="P12" s="82"/>
      <x:c r="Q12" s="82"/>
      <x:c r="R12" s="82"/>
      <x:c r="S12" s="82"/>
      <x:c r="T12" s="144" t="str">
        <x:f>IF(J12="","",J12-TODAY())</x:f>
      </x:c>
      <x:c r="U12" s="82" t="str">
        <x:f>IF(J12="","",IF(T12&lt;0,"EOL dépassée",IF(T12&lt;=180,"&lt; 6 mois",IF(T12&lt;=365,"&lt; 12 mois","OK"))))</x:f>
      </x:c>
    </x:row>
    <x:row r="13">
      <x:c r="A13" s="82"/>
      <x:c r="B13" s="82"/>
      <x:c r="C13" s="82"/>
      <x:c r="D13" s="82"/>
      <x:c r="E13" s="82"/>
      <x:c r="F13" s="82"/>
      <x:c r="G13" s="82"/>
      <x:c r="H13" s="82"/>
      <x:c r="I13" s="82"/>
      <x:c r="J13" s="110"/>
      <x:c r="K13" s="82"/>
      <x:c r="L13" s="82"/>
      <x:c r="M13" s="82"/>
      <x:c r="N13" s="82"/>
      <x:c r="O13" s="110"/>
      <x:c r="P13" s="82"/>
      <x:c r="Q13" s="82"/>
      <x:c r="R13" s="82"/>
      <x:c r="S13" s="82"/>
      <x:c r="T13" s="144" t="str">
        <x:f>IF(J13="","",J13-TODAY())</x:f>
      </x:c>
      <x:c r="U13" s="82" t="str">
        <x:f>IF(J13="","",IF(T13&lt;0,"EOL dépassée",IF(T13&lt;=180,"&lt; 6 mois",IF(T13&lt;=365,"&lt; 12 mois","OK"))))</x:f>
      </x:c>
    </x:row>
    <x:row r="14">
      <x:c r="A14" s="82"/>
      <x:c r="B14" s="82"/>
      <x:c r="C14" s="82"/>
      <x:c r="D14" s="82"/>
      <x:c r="E14" s="82"/>
      <x:c r="F14" s="82"/>
      <x:c r="G14" s="82"/>
      <x:c r="H14" s="82"/>
      <x:c r="I14" s="82"/>
      <x:c r="J14" s="110"/>
      <x:c r="K14" s="82"/>
      <x:c r="L14" s="82"/>
      <x:c r="M14" s="82"/>
      <x:c r="N14" s="82"/>
      <x:c r="O14" s="110"/>
      <x:c r="P14" s="82"/>
      <x:c r="Q14" s="82"/>
      <x:c r="R14" s="82"/>
      <x:c r="S14" s="82"/>
      <x:c r="T14" s="144" t="str">
        <x:f>IF(J14="","",J14-TODAY())</x:f>
      </x:c>
      <x:c r="U14" s="82" t="str">
        <x:f>IF(J14="","",IF(T14&lt;0,"EOL dépassée",IF(T14&lt;=180,"&lt; 6 mois",IF(T14&lt;=365,"&lt; 12 mois","OK"))))</x:f>
      </x:c>
    </x:row>
    <x:row r="15">
      <x:c r="A15" s="82"/>
      <x:c r="B15" s="82"/>
      <x:c r="C15" s="82"/>
      <x:c r="D15" s="82"/>
      <x:c r="E15" s="82"/>
      <x:c r="F15" s="82"/>
      <x:c r="G15" s="82"/>
      <x:c r="H15" s="82"/>
      <x:c r="I15" s="82"/>
      <x:c r="J15" s="110"/>
      <x:c r="K15" s="82"/>
      <x:c r="L15" s="82"/>
      <x:c r="M15" s="82"/>
      <x:c r="N15" s="82"/>
      <x:c r="O15" s="110"/>
      <x:c r="P15" s="82"/>
      <x:c r="Q15" s="82"/>
      <x:c r="R15" s="82"/>
      <x:c r="S15" s="82"/>
      <x:c r="T15" s="144" t="str">
        <x:f>IF(J15="","",J15-TODAY())</x:f>
      </x:c>
      <x:c r="U15" s="82" t="str">
        <x:f>IF(J15="","",IF(T15&lt;0,"EOL dépassée",IF(T15&lt;=180,"&lt; 6 mois",IF(T15&lt;=365,"&lt; 12 mois","OK"))))</x:f>
      </x:c>
    </x:row>
    <x:row r="16">
      <x:c r="A16" s="82"/>
      <x:c r="B16" s="82"/>
      <x:c r="C16" s="82"/>
      <x:c r="D16" s="82"/>
      <x:c r="E16" s="82"/>
      <x:c r="F16" s="82"/>
      <x:c r="G16" s="82"/>
      <x:c r="H16" s="82"/>
      <x:c r="I16" s="82"/>
      <x:c r="J16" s="110"/>
      <x:c r="K16" s="82"/>
      <x:c r="L16" s="82"/>
      <x:c r="M16" s="82"/>
      <x:c r="N16" s="82"/>
      <x:c r="O16" s="110"/>
      <x:c r="P16" s="82"/>
      <x:c r="Q16" s="82"/>
      <x:c r="R16" s="82"/>
      <x:c r="S16" s="82"/>
      <x:c r="T16" s="144" t="str">
        <x:f>IF(J16="","",J16-TODAY())</x:f>
      </x:c>
      <x:c r="U16" s="82" t="str">
        <x:f>IF(J16="","",IF(T16&lt;0,"EOL dépassée",IF(T16&lt;=180,"&lt; 6 mois",IF(T16&lt;=365,"&lt; 12 mois","OK"))))</x:f>
      </x:c>
    </x:row>
    <x:row r="17">
      <x:c r="A17" s="82"/>
      <x:c r="B17" s="82"/>
      <x:c r="C17" s="82"/>
      <x:c r="D17" s="82"/>
      <x:c r="E17" s="82"/>
      <x:c r="F17" s="82"/>
      <x:c r="G17" s="82"/>
      <x:c r="H17" s="82"/>
      <x:c r="I17" s="82"/>
      <x:c r="J17" s="110"/>
      <x:c r="K17" s="82"/>
      <x:c r="L17" s="82"/>
      <x:c r="M17" s="82"/>
      <x:c r="N17" s="82"/>
      <x:c r="O17" s="110"/>
      <x:c r="P17" s="82"/>
      <x:c r="Q17" s="82"/>
      <x:c r="R17" s="82"/>
      <x:c r="S17" s="82"/>
      <x:c r="T17" s="144" t="str">
        <x:f>IF(J17="","",J17-TODAY())</x:f>
      </x:c>
      <x:c r="U17" s="82" t="str">
        <x:f>IF(J17="","",IF(T17&lt;0,"EOL dépassée",IF(T17&lt;=180,"&lt; 6 mois",IF(T17&lt;=365,"&lt; 12 mois","OK"))))</x:f>
      </x:c>
    </x:row>
    <x:row r="18">
      <x:c r="A18" s="82"/>
      <x:c r="B18" s="82"/>
      <x:c r="C18" s="82"/>
      <x:c r="D18" s="82"/>
      <x:c r="E18" s="82"/>
      <x:c r="F18" s="82"/>
      <x:c r="G18" s="82"/>
      <x:c r="H18" s="82"/>
      <x:c r="I18" s="82"/>
      <x:c r="J18" s="110"/>
      <x:c r="K18" s="82"/>
      <x:c r="L18" s="82"/>
      <x:c r="M18" s="82"/>
      <x:c r="N18" s="82"/>
      <x:c r="O18" s="110"/>
      <x:c r="P18" s="82"/>
      <x:c r="Q18" s="82"/>
      <x:c r="R18" s="82"/>
      <x:c r="S18" s="82"/>
      <x:c r="T18" s="144" t="str">
        <x:f>IF(J18="","",J18-TODAY())</x:f>
      </x:c>
      <x:c r="U18" s="82" t="str">
        <x:f>IF(J18="","",IF(T18&lt;0,"EOL dépassée",IF(T18&lt;=180,"&lt; 6 mois",IF(T18&lt;=365,"&lt; 12 mois","OK"))))</x:f>
      </x:c>
    </x:row>
    <x:row r="19">
      <x:c r="A19" s="82"/>
      <x:c r="B19" s="82"/>
      <x:c r="C19" s="82"/>
      <x:c r="D19" s="82"/>
      <x:c r="E19" s="82"/>
      <x:c r="F19" s="82"/>
      <x:c r="G19" s="82"/>
      <x:c r="H19" s="82"/>
      <x:c r="I19" s="82"/>
      <x:c r="J19" s="110"/>
      <x:c r="K19" s="82"/>
      <x:c r="L19" s="82"/>
      <x:c r="M19" s="82"/>
      <x:c r="N19" s="82"/>
      <x:c r="O19" s="110"/>
      <x:c r="P19" s="82"/>
      <x:c r="Q19" s="82"/>
      <x:c r="R19" s="82"/>
      <x:c r="S19" s="82"/>
      <x:c r="T19" s="144" t="str">
        <x:f>IF(J19="","",J19-TODAY())</x:f>
      </x:c>
      <x:c r="U19" s="82" t="str">
        <x:f>IF(J19="","",IF(T19&lt;0,"EOL dépassée",IF(T19&lt;=180,"&lt; 6 mois",IF(T19&lt;=365,"&lt; 12 mois","OK"))))</x:f>
      </x:c>
    </x:row>
    <x:row r="20">
      <x:c r="A20" s="82"/>
      <x:c r="B20" s="82"/>
      <x:c r="C20" s="82"/>
      <x:c r="D20" s="82"/>
      <x:c r="E20" s="82"/>
      <x:c r="F20" s="82"/>
      <x:c r="G20" s="82"/>
      <x:c r="H20" s="82"/>
      <x:c r="I20" s="82"/>
      <x:c r="J20" s="110"/>
      <x:c r="K20" s="82"/>
      <x:c r="L20" s="82"/>
      <x:c r="M20" s="82"/>
      <x:c r="N20" s="82"/>
      <x:c r="O20" s="110"/>
      <x:c r="P20" s="82"/>
      <x:c r="Q20" s="82"/>
      <x:c r="R20" s="82"/>
      <x:c r="S20" s="82"/>
      <x:c r="T20" s="144" t="str">
        <x:f>IF(J20="","",J20-TODAY())</x:f>
      </x:c>
      <x:c r="U20" s="82" t="str">
        <x:f>IF(J20="","",IF(T20&lt;0,"EOL dépassée",IF(T20&lt;=180,"&lt; 6 mois",IF(T20&lt;=365,"&lt; 12 mois","OK"))))</x:f>
      </x:c>
    </x:row>
    <x:row r="21">
      <x:c r="A21" s="82"/>
      <x:c r="B21" s="82"/>
      <x:c r="C21" s="82"/>
      <x:c r="D21" s="82"/>
      <x:c r="E21" s="82"/>
      <x:c r="F21" s="82"/>
      <x:c r="G21" s="82"/>
      <x:c r="H21" s="82"/>
      <x:c r="I21" s="82"/>
      <x:c r="J21" s="110"/>
      <x:c r="K21" s="82"/>
      <x:c r="L21" s="82"/>
      <x:c r="M21" s="82"/>
      <x:c r="N21" s="82"/>
      <x:c r="O21" s="110"/>
      <x:c r="P21" s="82"/>
      <x:c r="Q21" s="82"/>
      <x:c r="R21" s="82"/>
      <x:c r="S21" s="82"/>
      <x:c r="T21" s="144" t="str">
        <x:f>IF(J21="","",J21-TODAY())</x:f>
      </x:c>
      <x:c r="U21" s="82" t="str">
        <x:f>IF(J21="","",IF(T21&lt;0,"EOL dépassée",IF(T21&lt;=180,"&lt; 6 mois",IF(T21&lt;=365,"&lt; 12 mois","OK"))))</x:f>
      </x:c>
    </x:row>
    <x:row r="22">
      <x:c r="A22" s="82"/>
      <x:c r="B22" s="82"/>
      <x:c r="C22" s="82"/>
      <x:c r="D22" s="82"/>
      <x:c r="E22" s="82"/>
      <x:c r="F22" s="82"/>
      <x:c r="G22" s="82"/>
      <x:c r="H22" s="82"/>
      <x:c r="I22" s="82"/>
      <x:c r="J22" s="110"/>
      <x:c r="K22" s="82"/>
      <x:c r="L22" s="82"/>
      <x:c r="M22" s="82"/>
      <x:c r="N22" s="82"/>
      <x:c r="O22" s="110"/>
      <x:c r="P22" s="82"/>
      <x:c r="Q22" s="82"/>
      <x:c r="R22" s="82"/>
      <x:c r="S22" s="82"/>
      <x:c r="T22" s="144" t="str">
        <x:f>IF(J22="","",J22-TODAY())</x:f>
      </x:c>
      <x:c r="U22" s="82" t="str">
        <x:f>IF(J22="","",IF(T22&lt;0,"EOL dépassée",IF(T22&lt;=180,"&lt; 6 mois",IF(T22&lt;=365,"&lt; 12 mois","OK"))))</x:f>
      </x:c>
    </x:row>
    <x:row r="23">
      <x:c r="A23" s="82"/>
      <x:c r="B23" s="82"/>
      <x:c r="C23" s="82"/>
      <x:c r="D23" s="82"/>
      <x:c r="E23" s="82"/>
      <x:c r="F23" s="82"/>
      <x:c r="G23" s="82"/>
      <x:c r="H23" s="82"/>
      <x:c r="I23" s="82"/>
      <x:c r="J23" s="110"/>
      <x:c r="K23" s="82"/>
      <x:c r="L23" s="82"/>
      <x:c r="M23" s="82"/>
      <x:c r="N23" s="82"/>
      <x:c r="O23" s="110"/>
      <x:c r="P23" s="82"/>
      <x:c r="Q23" s="82"/>
      <x:c r="R23" s="82"/>
      <x:c r="S23" s="82"/>
      <x:c r="T23" s="144" t="str">
        <x:f>IF(J23="","",J23-TODAY())</x:f>
      </x:c>
      <x:c r="U23" s="82" t="str">
        <x:f>IF(J23="","",IF(T23&lt;0,"EOL dépassée",IF(T23&lt;=180,"&lt; 6 mois",IF(T23&lt;=365,"&lt; 12 mois","OK"))))</x:f>
      </x:c>
    </x:row>
    <x:row r="24">
      <x:c r="A24" s="82"/>
      <x:c r="B24" s="82"/>
      <x:c r="C24" s="82"/>
      <x:c r="D24" s="82"/>
      <x:c r="E24" s="82"/>
      <x:c r="F24" s="82"/>
      <x:c r="G24" s="82"/>
      <x:c r="H24" s="82"/>
      <x:c r="I24" s="82"/>
      <x:c r="J24" s="110"/>
      <x:c r="K24" s="82"/>
      <x:c r="L24" s="82"/>
      <x:c r="M24" s="82"/>
      <x:c r="N24" s="82"/>
      <x:c r="O24" s="110"/>
      <x:c r="P24" s="82"/>
      <x:c r="Q24" s="82"/>
      <x:c r="R24" s="82"/>
      <x:c r="S24" s="82"/>
      <x:c r="T24" s="144" t="str">
        <x:f>IF(J24="","",J24-TODAY())</x:f>
      </x:c>
      <x:c r="U24" s="82" t="str">
        <x:f>IF(J24="","",IF(T24&lt;0,"EOL dépassée",IF(T24&lt;=180,"&lt; 6 mois",IF(T24&lt;=365,"&lt; 12 mois","OK"))))</x:f>
      </x:c>
    </x:row>
    <x:row r="25">
      <x:c r="A25" s="82"/>
      <x:c r="B25" s="82"/>
      <x:c r="C25" s="82"/>
      <x:c r="D25" s="82"/>
      <x:c r="E25" s="82"/>
      <x:c r="F25" s="82"/>
      <x:c r="G25" s="82"/>
      <x:c r="H25" s="82"/>
      <x:c r="I25" s="82"/>
      <x:c r="J25" s="110"/>
      <x:c r="K25" s="82"/>
      <x:c r="L25" s="82"/>
      <x:c r="M25" s="82"/>
      <x:c r="N25" s="82"/>
      <x:c r="O25" s="110"/>
      <x:c r="P25" s="82"/>
      <x:c r="Q25" s="82"/>
      <x:c r="R25" s="82"/>
      <x:c r="S25" s="82"/>
      <x:c r="T25" s="144" t="str">
        <x:f>IF(J25="","",J25-TODAY())</x:f>
      </x:c>
      <x:c r="U25" s="82" t="str">
        <x:f>IF(J25="","",IF(T25&lt;0,"EOL dépassée",IF(T25&lt;=180,"&lt; 6 mois",IF(T25&lt;=365,"&lt; 12 mois","OK"))))</x:f>
      </x:c>
    </x:row>
    <x:row r="26">
      <x:c r="A26" s="82"/>
      <x:c r="B26" s="82"/>
      <x:c r="C26" s="82"/>
      <x:c r="D26" s="82"/>
      <x:c r="E26" s="82"/>
      <x:c r="F26" s="82"/>
      <x:c r="G26" s="82"/>
      <x:c r="H26" s="82"/>
      <x:c r="I26" s="82"/>
      <x:c r="J26" s="110"/>
      <x:c r="K26" s="82"/>
      <x:c r="L26" s="82"/>
      <x:c r="M26" s="82"/>
      <x:c r="N26" s="82"/>
      <x:c r="O26" s="110"/>
      <x:c r="P26" s="82"/>
      <x:c r="Q26" s="82"/>
      <x:c r="R26" s="82"/>
      <x:c r="S26" s="82"/>
      <x:c r="T26" s="144" t="str">
        <x:f>IF(J26="","",J26-TODAY())</x:f>
      </x:c>
      <x:c r="U26" s="82" t="str">
        <x:f>IF(J26="","",IF(T26&lt;0,"EOL dépassée",IF(T26&lt;=180,"&lt; 6 mois",IF(T26&lt;=365,"&lt; 12 mois","OK"))))</x:f>
      </x:c>
    </x:row>
    <x:row r="27">
      <x:c r="A27" s="82"/>
      <x:c r="B27" s="82"/>
      <x:c r="C27" s="82"/>
      <x:c r="D27" s="82"/>
      <x:c r="E27" s="82"/>
      <x:c r="F27" s="82"/>
      <x:c r="G27" s="82"/>
      <x:c r="H27" s="82"/>
      <x:c r="I27" s="82"/>
      <x:c r="J27" s="110"/>
      <x:c r="K27" s="82"/>
      <x:c r="L27" s="82"/>
      <x:c r="M27" s="82"/>
      <x:c r="N27" s="82"/>
      <x:c r="O27" s="110"/>
      <x:c r="P27" s="82"/>
      <x:c r="Q27" s="82"/>
      <x:c r="R27" s="82"/>
      <x:c r="S27" s="82"/>
      <x:c r="T27" s="144" t="str">
        <x:f>IF(J27="","",J27-TODAY())</x:f>
      </x:c>
      <x:c r="U27" s="82" t="str">
        <x:f>IF(J27="","",IF(T27&lt;0,"EOL dépassée",IF(T27&lt;=180,"&lt; 6 mois",IF(T27&lt;=365,"&lt; 12 mois","OK"))))</x:f>
      </x:c>
    </x:row>
    <x:row r="28">
      <x:c r="A28" s="82"/>
      <x:c r="B28" s="82"/>
      <x:c r="C28" s="82"/>
      <x:c r="D28" s="82"/>
      <x:c r="E28" s="82"/>
      <x:c r="F28" s="82"/>
      <x:c r="G28" s="82"/>
      <x:c r="H28" s="82"/>
      <x:c r="I28" s="82"/>
      <x:c r="J28" s="110"/>
      <x:c r="K28" s="82"/>
      <x:c r="L28" s="82"/>
      <x:c r="M28" s="82"/>
      <x:c r="N28" s="82"/>
      <x:c r="O28" s="110"/>
      <x:c r="P28" s="82"/>
      <x:c r="Q28" s="82"/>
      <x:c r="R28" s="82"/>
      <x:c r="S28" s="82"/>
      <x:c r="T28" s="144" t="str">
        <x:f>IF(J28="","",J28-TODAY())</x:f>
      </x:c>
      <x:c r="U28" s="82" t="str">
        <x:f>IF(J28="","",IF(T28&lt;0,"EOL dépassée",IF(T28&lt;=180,"&lt; 6 mois",IF(T28&lt;=365,"&lt; 12 mois","OK"))))</x:f>
      </x:c>
    </x:row>
    <x:row r="29">
      <x:c r="A29" s="82"/>
      <x:c r="B29" s="82"/>
      <x:c r="C29" s="82"/>
      <x:c r="D29" s="82"/>
      <x:c r="E29" s="82"/>
      <x:c r="F29" s="82"/>
      <x:c r="G29" s="82"/>
      <x:c r="H29" s="82"/>
      <x:c r="I29" s="82"/>
      <x:c r="J29" s="110"/>
      <x:c r="K29" s="82"/>
      <x:c r="L29" s="82"/>
      <x:c r="M29" s="82"/>
      <x:c r="N29" s="82"/>
      <x:c r="O29" s="110"/>
      <x:c r="P29" s="82"/>
      <x:c r="Q29" s="82"/>
      <x:c r="R29" s="82"/>
      <x:c r="S29" s="82"/>
      <x:c r="T29" s="144" t="str">
        <x:f>IF(J29="","",J29-TODAY())</x:f>
      </x:c>
      <x:c r="U29" s="82" t="str">
        <x:f>IF(J29="","",IF(T29&lt;0,"EOL dépassée",IF(T29&lt;=180,"&lt; 6 mois",IF(T29&lt;=365,"&lt; 12 mois","OK"))))</x:f>
      </x:c>
    </x:row>
    <x:row r="30">
      <x:c r="A30" s="82"/>
      <x:c r="B30" s="82"/>
      <x:c r="C30" s="82"/>
      <x:c r="D30" s="82"/>
      <x:c r="E30" s="82"/>
      <x:c r="F30" s="82"/>
      <x:c r="G30" s="82"/>
      <x:c r="H30" s="82"/>
      <x:c r="I30" s="82"/>
      <x:c r="J30" s="110"/>
      <x:c r="K30" s="82"/>
      <x:c r="L30" s="82"/>
      <x:c r="M30" s="82"/>
      <x:c r="N30" s="82"/>
      <x:c r="O30" s="110"/>
      <x:c r="P30" s="82"/>
      <x:c r="Q30" s="82"/>
      <x:c r="R30" s="82"/>
      <x:c r="S30" s="82"/>
      <x:c r="T30" s="144" t="str">
        <x:f>IF(J30="","",J30-TODAY())</x:f>
      </x:c>
      <x:c r="U30" s="82" t="str">
        <x:f>IF(J30="","",IF(T30&lt;0,"EOL dépassée",IF(T30&lt;=180,"&lt; 6 mois",IF(T30&lt;=365,"&lt; 12 mois","OK"))))</x:f>
      </x:c>
    </x:row>
    <x:row r="31">
      <x:c r="A31" s="82"/>
      <x:c r="B31" s="82"/>
      <x:c r="C31" s="82"/>
      <x:c r="D31" s="82"/>
      <x:c r="E31" s="82"/>
      <x:c r="F31" s="82"/>
      <x:c r="G31" s="82"/>
      <x:c r="H31" s="82"/>
      <x:c r="I31" s="82"/>
      <x:c r="J31" s="110"/>
      <x:c r="K31" s="82"/>
      <x:c r="L31" s="82"/>
      <x:c r="M31" s="82"/>
      <x:c r="N31" s="82"/>
      <x:c r="O31" s="110"/>
      <x:c r="P31" s="82"/>
      <x:c r="Q31" s="82"/>
      <x:c r="R31" s="82"/>
      <x:c r="S31" s="82"/>
      <x:c r="T31" s="144" t="str">
        <x:f>IF(J31="","",J31-TODAY())</x:f>
      </x:c>
      <x:c r="U31" s="82" t="str">
        <x:f>IF(J31="","",IF(T31&lt;0,"EOL dépassée",IF(T31&lt;=180,"&lt; 6 mois",IF(T31&lt;=365,"&lt; 12 mois","OK"))))</x:f>
      </x:c>
    </x:row>
    <x:row r="32">
      <x:c r="A32" s="82"/>
      <x:c r="B32" s="82"/>
      <x:c r="C32" s="82"/>
      <x:c r="D32" s="82"/>
      <x:c r="E32" s="82"/>
      <x:c r="F32" s="82"/>
      <x:c r="G32" s="82"/>
      <x:c r="H32" s="82"/>
      <x:c r="I32" s="82"/>
      <x:c r="J32" s="110"/>
      <x:c r="K32" s="82"/>
      <x:c r="L32" s="82"/>
      <x:c r="M32" s="82"/>
      <x:c r="N32" s="82"/>
      <x:c r="O32" s="110"/>
      <x:c r="P32" s="82"/>
      <x:c r="Q32" s="82"/>
      <x:c r="R32" s="82"/>
      <x:c r="S32" s="82"/>
      <x:c r="T32" s="144" t="str">
        <x:f>IF(J32="","",J32-TODAY())</x:f>
      </x:c>
      <x:c r="U32" s="82" t="str">
        <x:f>IF(J32="","",IF(T32&lt;0,"EOL dépassée",IF(T32&lt;=180,"&lt; 6 mois",IF(T32&lt;=365,"&lt; 12 mois","OK"))))</x:f>
      </x:c>
    </x:row>
    <x:row r="33">
      <x:c r="A33" s="82"/>
      <x:c r="B33" s="82"/>
      <x:c r="C33" s="82"/>
      <x:c r="D33" s="82"/>
      <x:c r="E33" s="82"/>
      <x:c r="F33" s="82"/>
      <x:c r="G33" s="82"/>
      <x:c r="H33" s="82"/>
      <x:c r="I33" s="82"/>
      <x:c r="J33" s="110"/>
      <x:c r="K33" s="82"/>
      <x:c r="L33" s="82"/>
      <x:c r="M33" s="82"/>
      <x:c r="N33" s="82"/>
      <x:c r="O33" s="110"/>
      <x:c r="P33" s="82"/>
      <x:c r="Q33" s="82"/>
      <x:c r="R33" s="82"/>
      <x:c r="S33" s="82"/>
      <x:c r="T33" s="144" t="str">
        <x:f>IF(J33="","",J33-TODAY())</x:f>
      </x:c>
      <x:c r="U33" s="82" t="str">
        <x:f>IF(J33="","",IF(T33&lt;0,"EOL dépassée",IF(T33&lt;=180,"&lt; 6 mois",IF(T33&lt;=365,"&lt; 12 mois","OK"))))</x:f>
      </x:c>
    </x:row>
    <x:row r="34">
      <x:c r="A34" s="82"/>
      <x:c r="B34" s="82"/>
      <x:c r="C34" s="82"/>
      <x:c r="D34" s="82"/>
      <x:c r="E34" s="82"/>
      <x:c r="F34" s="82"/>
      <x:c r="G34" s="82"/>
      <x:c r="H34" s="82"/>
      <x:c r="I34" s="82"/>
      <x:c r="J34" s="110"/>
      <x:c r="K34" s="82"/>
      <x:c r="L34" s="82"/>
      <x:c r="M34" s="82"/>
      <x:c r="N34" s="82"/>
      <x:c r="O34" s="110"/>
      <x:c r="P34" s="82"/>
      <x:c r="Q34" s="82"/>
      <x:c r="R34" s="82"/>
      <x:c r="S34" s="82"/>
      <x:c r="T34" s="144" t="str">
        <x:f>IF(J34="","",J34-TODAY())</x:f>
      </x:c>
      <x:c r="U34" s="82" t="str">
        <x:f>IF(J34="","",IF(T34&lt;0,"EOL dépassée",IF(T34&lt;=180,"&lt; 6 mois",IF(T34&lt;=365,"&lt; 12 mois","OK"))))</x:f>
      </x:c>
    </x:row>
    <x:row r="35">
      <x:c r="A35" s="82"/>
      <x:c r="B35" s="82"/>
      <x:c r="C35" s="82"/>
      <x:c r="D35" s="82"/>
      <x:c r="E35" s="82"/>
      <x:c r="F35" s="82"/>
      <x:c r="G35" s="82"/>
      <x:c r="H35" s="82"/>
      <x:c r="I35" s="82"/>
      <x:c r="J35" s="110"/>
      <x:c r="K35" s="82"/>
      <x:c r="L35" s="82"/>
      <x:c r="M35" s="82"/>
      <x:c r="N35" s="82"/>
      <x:c r="O35" s="110"/>
      <x:c r="P35" s="82"/>
      <x:c r="Q35" s="82"/>
      <x:c r="R35" s="82"/>
      <x:c r="S35" s="82"/>
      <x:c r="T35" s="144" t="str">
        <x:f>IF(J35="","",J35-TODAY())</x:f>
      </x:c>
      <x:c r="U35" s="82" t="str">
        <x:f>IF(J35="","",IF(T35&lt;0,"EOL dépassée",IF(T35&lt;=180,"&lt; 6 mois",IF(T35&lt;=365,"&lt; 12 mois","OK"))))</x:f>
      </x:c>
    </x:row>
    <x:row r="36">
      <x:c r="A36" s="82"/>
      <x:c r="B36" s="82"/>
      <x:c r="C36" s="82"/>
      <x:c r="D36" s="82"/>
      <x:c r="E36" s="82"/>
      <x:c r="F36" s="82"/>
      <x:c r="G36" s="82"/>
      <x:c r="H36" s="82"/>
      <x:c r="I36" s="82"/>
      <x:c r="J36" s="110"/>
      <x:c r="K36" s="82"/>
      <x:c r="L36" s="82"/>
      <x:c r="M36" s="82"/>
      <x:c r="N36" s="82"/>
      <x:c r="O36" s="110"/>
      <x:c r="P36" s="82"/>
      <x:c r="Q36" s="82"/>
      <x:c r="R36" s="82"/>
      <x:c r="S36" s="82"/>
      <x:c r="T36" s="144" t="str">
        <x:f>IF(J36="","",J36-TODAY())</x:f>
      </x:c>
      <x:c r="U36" s="82" t="str">
        <x:f>IF(J36="","",IF(T36&lt;0,"EOL dépassée",IF(T36&lt;=180,"&lt; 6 mois",IF(T36&lt;=365,"&lt; 12 mois","OK"))))</x:f>
      </x:c>
    </x:row>
    <x:row r="37">
      <x:c r="A37" s="82"/>
      <x:c r="B37" s="82"/>
      <x:c r="C37" s="82"/>
      <x:c r="D37" s="82"/>
      <x:c r="E37" s="82"/>
      <x:c r="F37" s="82"/>
      <x:c r="G37" s="82"/>
      <x:c r="H37" s="82"/>
      <x:c r="I37" s="82"/>
      <x:c r="J37" s="110"/>
      <x:c r="K37" s="82"/>
      <x:c r="L37" s="82"/>
      <x:c r="M37" s="82"/>
      <x:c r="N37" s="82"/>
      <x:c r="O37" s="110"/>
      <x:c r="P37" s="82"/>
      <x:c r="Q37" s="82"/>
      <x:c r="R37" s="82"/>
      <x:c r="S37" s="82"/>
      <x:c r="T37" s="144" t="str">
        <x:f>IF(J37="","",J37-TODAY())</x:f>
      </x:c>
      <x:c r="U37" s="82" t="str">
        <x:f>IF(J37="","",IF(T37&lt;0,"EOL dépassée",IF(T37&lt;=180,"&lt; 6 mois",IF(T37&lt;=365,"&lt; 12 mois","OK"))))</x:f>
      </x:c>
    </x:row>
    <x:row r="38">
      <x:c r="A38" s="82"/>
      <x:c r="B38" s="82"/>
      <x:c r="C38" s="82"/>
      <x:c r="D38" s="82"/>
      <x:c r="E38" s="82"/>
      <x:c r="F38" s="82"/>
      <x:c r="G38" s="82"/>
      <x:c r="H38" s="82"/>
      <x:c r="I38" s="82"/>
      <x:c r="J38" s="110"/>
      <x:c r="K38" s="82"/>
      <x:c r="L38" s="82"/>
      <x:c r="M38" s="82"/>
      <x:c r="N38" s="82"/>
      <x:c r="O38" s="110"/>
      <x:c r="P38" s="82"/>
      <x:c r="Q38" s="82"/>
      <x:c r="R38" s="82"/>
      <x:c r="S38" s="82"/>
      <x:c r="T38" s="144" t="str">
        <x:f>IF(J38="","",J38-TODAY())</x:f>
      </x:c>
      <x:c r="U38" s="82" t="str">
        <x:f>IF(J38="","",IF(T38&lt;0,"EOL dépassée",IF(T38&lt;=180,"&lt; 6 mois",IF(T38&lt;=365,"&lt; 12 mois","OK"))))</x:f>
      </x:c>
    </x:row>
    <x:row r="39">
      <x:c r="A39" s="82"/>
      <x:c r="B39" s="82"/>
      <x:c r="C39" s="82"/>
      <x:c r="D39" s="82"/>
      <x:c r="E39" s="82"/>
      <x:c r="F39" s="82"/>
      <x:c r="G39" s="82"/>
      <x:c r="H39" s="82"/>
      <x:c r="I39" s="82"/>
      <x:c r="J39" s="110"/>
      <x:c r="K39" s="82"/>
      <x:c r="L39" s="82"/>
      <x:c r="M39" s="82"/>
      <x:c r="N39" s="82"/>
      <x:c r="O39" s="110"/>
      <x:c r="P39" s="82"/>
      <x:c r="Q39" s="82"/>
      <x:c r="R39" s="82"/>
      <x:c r="S39" s="82"/>
      <x:c r="T39" s="144" t="str">
        <x:f>IF(J39="","",J39-TODAY())</x:f>
      </x:c>
      <x:c r="U39" s="82" t="str">
        <x:f>IF(J39="","",IF(T39&lt;0,"EOL dépassée",IF(T39&lt;=180,"&lt; 6 mois",IF(T39&lt;=365,"&lt; 12 mois","OK"))))</x:f>
      </x:c>
    </x:row>
    <x:row r="40">
      <x:c r="A40" s="82"/>
      <x:c r="B40" s="82"/>
      <x:c r="C40" s="82"/>
      <x:c r="D40" s="82"/>
      <x:c r="E40" s="82"/>
      <x:c r="F40" s="82"/>
      <x:c r="G40" s="82"/>
      <x:c r="H40" s="82"/>
      <x:c r="I40" s="82"/>
      <x:c r="J40" s="110"/>
      <x:c r="K40" s="82"/>
      <x:c r="L40" s="82"/>
      <x:c r="M40" s="82"/>
      <x:c r="N40" s="82"/>
      <x:c r="O40" s="110"/>
      <x:c r="P40" s="82"/>
      <x:c r="Q40" s="82"/>
      <x:c r="R40" s="82"/>
      <x:c r="S40" s="82"/>
      <x:c r="T40" s="144" t="str">
        <x:f>IF(J40="","",J40-TODAY())</x:f>
      </x:c>
      <x:c r="U40" s="82" t="str">
        <x:f>IF(J40="","",IF(T40&lt;0,"EOL dépassée",IF(T40&lt;=180,"&lt; 6 mois",IF(T40&lt;=365,"&lt; 12 mois","OK"))))</x:f>
      </x:c>
    </x:row>
    <x:row r="41">
      <x:c r="A41" s="82"/>
      <x:c r="B41" s="82"/>
      <x:c r="C41" s="82"/>
      <x:c r="D41" s="82"/>
      <x:c r="E41" s="82"/>
      <x:c r="F41" s="82"/>
      <x:c r="G41" s="82"/>
      <x:c r="H41" s="82"/>
      <x:c r="I41" s="82"/>
      <x:c r="J41" s="110"/>
      <x:c r="K41" s="82"/>
      <x:c r="L41" s="82"/>
      <x:c r="M41" s="82"/>
      <x:c r="N41" s="82"/>
      <x:c r="O41" s="110"/>
      <x:c r="P41" s="82"/>
      <x:c r="Q41" s="82"/>
      <x:c r="R41" s="82"/>
      <x:c r="S41" s="82"/>
      <x:c r="T41" s="144" t="str">
        <x:f>IF(J41="","",J41-TODAY())</x:f>
      </x:c>
      <x:c r="U41" s="82" t="str">
        <x:f>IF(J41="","",IF(T41&lt;0,"EOL dépassée",IF(T41&lt;=180,"&lt; 6 mois",IF(T41&lt;=365,"&lt; 12 mois","OK"))))</x:f>
      </x:c>
    </x:row>
    <x:row r="42">
      <x:c r="A42" s="82"/>
      <x:c r="B42" s="82"/>
      <x:c r="C42" s="82"/>
      <x:c r="D42" s="82"/>
      <x:c r="E42" s="82"/>
      <x:c r="F42" s="82"/>
      <x:c r="G42" s="82"/>
      <x:c r="H42" s="82"/>
      <x:c r="I42" s="82"/>
      <x:c r="J42" s="110"/>
      <x:c r="K42" s="82"/>
      <x:c r="L42" s="82"/>
      <x:c r="M42" s="82"/>
      <x:c r="N42" s="82"/>
      <x:c r="O42" s="110"/>
      <x:c r="P42" s="82"/>
      <x:c r="Q42" s="82"/>
      <x:c r="R42" s="82"/>
      <x:c r="S42" s="82"/>
      <x:c r="T42" s="144" t="str">
        <x:f>IF(J42="","",J42-TODAY())</x:f>
      </x:c>
      <x:c r="U42" s="82" t="str">
        <x:f>IF(J42="","",IF(T42&lt;0,"EOL dépassée",IF(T42&lt;=180,"&lt; 6 mois",IF(T42&lt;=365,"&lt; 12 mois","OK"))))</x:f>
      </x:c>
    </x:row>
    <x:row r="43">
      <x:c r="A43" s="82"/>
      <x:c r="B43" s="82"/>
      <x:c r="C43" s="82"/>
      <x:c r="D43" s="82"/>
      <x:c r="E43" s="82"/>
      <x:c r="F43" s="82"/>
      <x:c r="G43" s="82"/>
      <x:c r="H43" s="82"/>
      <x:c r="I43" s="82"/>
      <x:c r="J43" s="110"/>
      <x:c r="K43" s="82"/>
      <x:c r="L43" s="82"/>
      <x:c r="M43" s="82"/>
      <x:c r="N43" s="82"/>
      <x:c r="O43" s="110"/>
      <x:c r="P43" s="82"/>
      <x:c r="Q43" s="82"/>
      <x:c r="R43" s="82"/>
      <x:c r="S43" s="82"/>
      <x:c r="T43" s="144" t="str">
        <x:f>IF(J43="","",J43-TODAY())</x:f>
      </x:c>
      <x:c r="U43" s="82" t="str">
        <x:f>IF(J43="","",IF(T43&lt;0,"EOL dépassée",IF(T43&lt;=180,"&lt; 6 mois",IF(T43&lt;=365,"&lt; 12 mois","OK"))))</x:f>
      </x:c>
    </x:row>
    <x:row r="44">
      <x:c r="A44" s="82"/>
      <x:c r="B44" s="82"/>
      <x:c r="C44" s="82"/>
      <x:c r="D44" s="82"/>
      <x:c r="E44" s="82"/>
      <x:c r="F44" s="82"/>
      <x:c r="G44" s="82"/>
      <x:c r="H44" s="82"/>
      <x:c r="I44" s="82"/>
      <x:c r="J44" s="110"/>
      <x:c r="K44" s="82"/>
      <x:c r="L44" s="82"/>
      <x:c r="M44" s="82"/>
      <x:c r="N44" s="82"/>
      <x:c r="O44" s="110"/>
      <x:c r="P44" s="82"/>
      <x:c r="Q44" s="82"/>
      <x:c r="R44" s="82"/>
      <x:c r="S44" s="82"/>
      <x:c r="T44" s="144" t="str">
        <x:f>IF(J44="","",J44-TODAY())</x:f>
      </x:c>
      <x:c r="U44" s="82" t="str">
        <x:f>IF(J44="","",IF(T44&lt;0,"EOL dépassée",IF(T44&lt;=180,"&lt; 6 mois",IF(T44&lt;=365,"&lt; 12 mois","OK"))))</x:f>
      </x:c>
    </x:row>
    <x:row r="45">
      <x:c r="A45" s="82"/>
      <x:c r="B45" s="82"/>
      <x:c r="C45" s="82"/>
      <x:c r="D45" s="82"/>
      <x:c r="E45" s="82"/>
      <x:c r="F45" s="82"/>
      <x:c r="G45" s="82"/>
      <x:c r="H45" s="82"/>
      <x:c r="I45" s="82"/>
      <x:c r="J45" s="110"/>
      <x:c r="K45" s="82"/>
      <x:c r="L45" s="82"/>
      <x:c r="M45" s="82"/>
      <x:c r="N45" s="82"/>
      <x:c r="O45" s="110"/>
      <x:c r="P45" s="82"/>
      <x:c r="Q45" s="82"/>
      <x:c r="R45" s="82"/>
      <x:c r="S45" s="82"/>
      <x:c r="T45" s="144" t="str">
        <x:f>IF(J45="","",J45-TODAY())</x:f>
      </x:c>
      <x:c r="U45" s="82" t="str">
        <x:f>IF(J45="","",IF(T45&lt;0,"EOL dépassée",IF(T45&lt;=180,"&lt; 6 mois",IF(T45&lt;=365,"&lt; 12 mois","OK"))))</x:f>
      </x:c>
    </x:row>
    <x:row r="46">
      <x:c r="A46" s="82"/>
      <x:c r="B46" s="82"/>
      <x:c r="C46" s="82"/>
      <x:c r="D46" s="82"/>
      <x:c r="E46" s="82"/>
      <x:c r="F46" s="82"/>
      <x:c r="G46" s="82"/>
      <x:c r="H46" s="82"/>
      <x:c r="I46" s="82"/>
      <x:c r="J46" s="110"/>
      <x:c r="K46" s="82"/>
      <x:c r="L46" s="82"/>
      <x:c r="M46" s="82"/>
      <x:c r="N46" s="82"/>
      <x:c r="O46" s="110"/>
      <x:c r="P46" s="82"/>
      <x:c r="Q46" s="82"/>
      <x:c r="R46" s="82"/>
      <x:c r="S46" s="82"/>
      <x:c r="T46" s="144" t="str">
        <x:f>IF(J46="","",J46-TODAY())</x:f>
      </x:c>
      <x:c r="U46" s="82" t="str">
        <x:f>IF(J46="","",IF(T46&lt;0,"EOL dépassée",IF(T46&lt;=180,"&lt; 6 mois",IF(T46&lt;=365,"&lt; 12 mois","OK"))))</x:f>
      </x:c>
    </x:row>
    <x:row r="47">
      <x:c r="A47" s="82"/>
      <x:c r="B47" s="82"/>
      <x:c r="C47" s="82"/>
      <x:c r="D47" s="82"/>
      <x:c r="E47" s="82"/>
      <x:c r="F47" s="82"/>
      <x:c r="G47" s="82"/>
      <x:c r="H47" s="82"/>
      <x:c r="I47" s="82"/>
      <x:c r="J47" s="110"/>
      <x:c r="K47" s="82"/>
      <x:c r="L47" s="82"/>
      <x:c r="M47" s="82"/>
      <x:c r="N47" s="82"/>
      <x:c r="O47" s="110"/>
      <x:c r="P47" s="82"/>
      <x:c r="Q47" s="82"/>
      <x:c r="R47" s="82"/>
      <x:c r="S47" s="82"/>
      <x:c r="T47" s="144" t="str">
        <x:f>IF(J47="","",J47-TODAY())</x:f>
      </x:c>
      <x:c r="U47" s="82" t="str">
        <x:f>IF(J47="","",IF(T47&lt;0,"EOL dépassée",IF(T47&lt;=180,"&lt; 6 mois",IF(T47&lt;=365,"&lt; 12 mois","OK"))))</x:f>
      </x:c>
    </x:row>
    <x:row r="48">
      <x:c r="A48" s="82"/>
      <x:c r="B48" s="82"/>
      <x:c r="C48" s="82"/>
      <x:c r="D48" s="82"/>
      <x:c r="E48" s="82"/>
      <x:c r="F48" s="82"/>
      <x:c r="G48" s="82"/>
      <x:c r="H48" s="82"/>
      <x:c r="I48" s="82"/>
      <x:c r="J48" s="110"/>
      <x:c r="K48" s="82"/>
      <x:c r="L48" s="82"/>
      <x:c r="M48" s="82"/>
      <x:c r="N48" s="82"/>
      <x:c r="O48" s="110"/>
      <x:c r="P48" s="82"/>
      <x:c r="Q48" s="82"/>
      <x:c r="R48" s="82"/>
      <x:c r="S48" s="82"/>
      <x:c r="T48" s="144" t="str">
        <x:f>IF(J48="","",J48-TODAY())</x:f>
      </x:c>
      <x:c r="U48" s="82" t="str">
        <x:f>IF(J48="","",IF(T48&lt;0,"EOL dépassée",IF(T48&lt;=180,"&lt; 6 mois",IF(T48&lt;=365,"&lt; 12 mois","OK"))))</x:f>
      </x:c>
    </x:row>
    <x:row r="49">
      <x:c r="A49" s="82"/>
      <x:c r="B49" s="82"/>
      <x:c r="C49" s="82"/>
      <x:c r="D49" s="82"/>
      <x:c r="E49" s="82"/>
      <x:c r="F49" s="82"/>
      <x:c r="G49" s="82"/>
      <x:c r="H49" s="82"/>
      <x:c r="I49" s="82"/>
      <x:c r="J49" s="110"/>
      <x:c r="K49" s="82"/>
      <x:c r="L49" s="82"/>
      <x:c r="M49" s="82"/>
      <x:c r="N49" s="82"/>
      <x:c r="O49" s="110"/>
      <x:c r="P49" s="82"/>
      <x:c r="Q49" s="82"/>
      <x:c r="R49" s="82"/>
      <x:c r="S49" s="82"/>
      <x:c r="T49" s="144" t="str">
        <x:f>IF(J49="","",J49-TODAY())</x:f>
      </x:c>
      <x:c r="U49" s="82" t="str">
        <x:f>IF(J49="","",IF(T49&lt;0,"EOL dépassée",IF(T49&lt;=180,"&lt; 6 mois",IF(T49&lt;=365,"&lt; 12 mois","OK"))))</x:f>
      </x:c>
    </x:row>
    <x:row r="50">
      <x:c r="A50" s="82"/>
      <x:c r="B50" s="82"/>
      <x:c r="C50" s="82"/>
      <x:c r="D50" s="82"/>
      <x:c r="E50" s="82"/>
      <x:c r="F50" s="82"/>
      <x:c r="G50" s="82"/>
      <x:c r="H50" s="82"/>
      <x:c r="I50" s="82"/>
      <x:c r="J50" s="110"/>
      <x:c r="K50" s="82"/>
      <x:c r="L50" s="82"/>
      <x:c r="M50" s="82"/>
      <x:c r="N50" s="82"/>
      <x:c r="O50" s="110"/>
      <x:c r="P50" s="82"/>
      <x:c r="Q50" s="82"/>
      <x:c r="R50" s="82"/>
      <x:c r="S50" s="82"/>
      <x:c r="T50" s="144" t="str">
        <x:f>IF(J50="","",J50-TODAY())</x:f>
      </x:c>
      <x:c r="U50" s="82" t="str">
        <x:f>IF(J50="","",IF(T50&lt;0,"EOL dépassée",IF(T50&lt;=180,"&lt; 6 mois",IF(T50&lt;=365,"&lt; 12 mois","OK"))))</x:f>
      </x:c>
    </x:row>
    <x:row r="51">
      <x:c r="A51" s="82"/>
      <x:c r="B51" s="82"/>
      <x:c r="C51" s="82"/>
      <x:c r="D51" s="82"/>
      <x:c r="E51" s="82"/>
      <x:c r="F51" s="82"/>
      <x:c r="G51" s="82"/>
      <x:c r="H51" s="82"/>
      <x:c r="I51" s="82"/>
      <x:c r="J51" s="110"/>
      <x:c r="K51" s="82"/>
      <x:c r="L51" s="82"/>
      <x:c r="M51" s="82"/>
      <x:c r="N51" s="82"/>
      <x:c r="O51" s="110"/>
      <x:c r="P51" s="82"/>
      <x:c r="Q51" s="82"/>
      <x:c r="R51" s="82"/>
      <x:c r="S51" s="82"/>
      <x:c r="T51" s="144" t="str">
        <x:f>IF(J51="","",J51-TODAY())</x:f>
      </x:c>
      <x:c r="U51" s="82" t="str">
        <x:f>IF(J51="","",IF(T51&lt;0,"EOL dépassée",IF(T51&lt;=180,"&lt; 6 mois",IF(T51&lt;=365,"&lt; 12 mois","OK"))))</x:f>
      </x:c>
    </x:row>
    <x:row r="52">
      <x:c r="A52" s="82"/>
      <x:c r="B52" s="82"/>
      <x:c r="C52" s="82"/>
      <x:c r="D52" s="82"/>
      <x:c r="E52" s="82"/>
      <x:c r="F52" s="82"/>
      <x:c r="G52" s="82"/>
      <x:c r="H52" s="82"/>
      <x:c r="I52" s="82"/>
      <x:c r="J52" s="110"/>
      <x:c r="K52" s="82"/>
      <x:c r="L52" s="82"/>
      <x:c r="M52" s="82"/>
      <x:c r="N52" s="82"/>
      <x:c r="O52" s="110"/>
      <x:c r="P52" s="82"/>
      <x:c r="Q52" s="82"/>
      <x:c r="R52" s="82"/>
      <x:c r="S52" s="82"/>
      <x:c r="T52" s="144" t="str">
        <x:f>IF(J52="","",J52-TODAY())</x:f>
      </x:c>
      <x:c r="U52" s="82" t="str">
        <x:f>IF(J52="","",IF(T52&lt;0,"EOL dépassée",IF(T52&lt;=180,"&lt; 6 mois",IF(T52&lt;=365,"&lt; 12 mois","OK"))))</x:f>
      </x:c>
    </x:row>
    <x:row r="53">
      <x:c r="A53" s="82"/>
      <x:c r="B53" s="82"/>
      <x:c r="C53" s="82"/>
      <x:c r="D53" s="82"/>
      <x:c r="E53" s="82"/>
      <x:c r="F53" s="82"/>
      <x:c r="G53" s="82"/>
      <x:c r="H53" s="82"/>
      <x:c r="I53" s="82"/>
      <x:c r="J53" s="110"/>
      <x:c r="K53" s="82"/>
      <x:c r="L53" s="82"/>
      <x:c r="M53" s="82"/>
      <x:c r="N53" s="82"/>
      <x:c r="O53" s="110"/>
      <x:c r="P53" s="82"/>
      <x:c r="Q53" s="82"/>
      <x:c r="R53" s="82"/>
      <x:c r="S53" s="82"/>
      <x:c r="T53" s="144" t="str">
        <x:f>IF(J53="","",J53-TODAY())</x:f>
      </x:c>
      <x:c r="U53" s="82" t="str">
        <x:f>IF(J53="","",IF(T53&lt;0,"EOL dépassée",IF(T53&lt;=180,"&lt; 6 mois",IF(T53&lt;=365,"&lt; 12 mois","OK"))))</x:f>
      </x:c>
    </x:row>
    <x:row r="54">
      <x:c r="A54" s="82"/>
      <x:c r="B54" s="82"/>
      <x:c r="C54" s="82"/>
      <x:c r="D54" s="82"/>
      <x:c r="E54" s="82"/>
      <x:c r="F54" s="82"/>
      <x:c r="G54" s="82"/>
      <x:c r="H54" s="82"/>
      <x:c r="I54" s="82"/>
      <x:c r="J54" s="110"/>
      <x:c r="K54" s="82"/>
      <x:c r="L54" s="82"/>
      <x:c r="M54" s="82"/>
      <x:c r="N54" s="82"/>
      <x:c r="O54" s="110"/>
      <x:c r="P54" s="82"/>
      <x:c r="Q54" s="82"/>
      <x:c r="R54" s="82"/>
      <x:c r="S54" s="82"/>
      <x:c r="T54" s="144" t="str">
        <x:f>IF(J54="","",J54-TODAY())</x:f>
      </x:c>
      <x:c r="U54" s="82" t="str">
        <x:f>IF(J54="","",IF(T54&lt;0,"EOL dépassée",IF(T54&lt;=180,"&lt; 6 mois",IF(T54&lt;=365,"&lt; 12 mois","OK"))))</x:f>
      </x:c>
    </x:row>
    <x:row r="55">
      <x:c r="A55" s="82"/>
      <x:c r="B55" s="82"/>
      <x:c r="C55" s="82"/>
      <x:c r="D55" s="82"/>
      <x:c r="E55" s="82"/>
      <x:c r="F55" s="82"/>
      <x:c r="G55" s="82"/>
      <x:c r="H55" s="82"/>
      <x:c r="I55" s="82"/>
      <x:c r="J55" s="110"/>
      <x:c r="K55" s="82"/>
      <x:c r="L55" s="82"/>
      <x:c r="M55" s="82"/>
      <x:c r="N55" s="82"/>
      <x:c r="O55" s="110"/>
      <x:c r="P55" s="82"/>
      <x:c r="Q55" s="82"/>
      <x:c r="R55" s="82"/>
      <x:c r="S55" s="82"/>
      <x:c r="T55" s="144" t="str">
        <x:f>IF(J55="","",J55-TODAY())</x:f>
      </x:c>
      <x:c r="U55" s="82" t="str">
        <x:f>IF(J55="","",IF(T55&lt;0,"EOL dépassée",IF(T55&lt;=180,"&lt; 6 mois",IF(T55&lt;=365,"&lt; 12 mois","OK"))))</x:f>
      </x:c>
    </x:row>
    <x:row r="56">
      <x:c r="A56" s="82"/>
      <x:c r="B56" s="82"/>
      <x:c r="C56" s="82"/>
      <x:c r="D56" s="82"/>
      <x:c r="E56" s="82"/>
      <x:c r="F56" s="82"/>
      <x:c r="G56" s="82"/>
      <x:c r="H56" s="82"/>
      <x:c r="I56" s="82"/>
      <x:c r="J56" s="110"/>
      <x:c r="K56" s="82"/>
      <x:c r="L56" s="82"/>
      <x:c r="M56" s="82"/>
      <x:c r="N56" s="82"/>
      <x:c r="O56" s="110"/>
      <x:c r="P56" s="82"/>
      <x:c r="Q56" s="82"/>
      <x:c r="R56" s="82"/>
      <x:c r="S56" s="82"/>
      <x:c r="T56" s="144" t="str">
        <x:f>IF(J56="","",J56-TODAY())</x:f>
      </x:c>
      <x:c r="U56" s="82" t="str">
        <x:f>IF(J56="","",IF(T56&lt;0,"EOL dépassée",IF(T56&lt;=180,"&lt; 6 mois",IF(T56&lt;=365,"&lt; 12 mois","OK"))))</x:f>
      </x:c>
    </x:row>
    <x:row r="57">
      <x:c r="A57" s="82"/>
      <x:c r="B57" s="82"/>
      <x:c r="C57" s="82"/>
      <x:c r="D57" s="82"/>
      <x:c r="E57" s="82"/>
      <x:c r="F57" s="82"/>
      <x:c r="G57" s="82"/>
      <x:c r="H57" s="82"/>
      <x:c r="I57" s="82"/>
      <x:c r="J57" s="110"/>
      <x:c r="K57" s="82"/>
      <x:c r="L57" s="82"/>
      <x:c r="M57" s="82"/>
      <x:c r="N57" s="82"/>
      <x:c r="O57" s="110"/>
      <x:c r="P57" s="82"/>
      <x:c r="Q57" s="82"/>
      <x:c r="R57" s="82"/>
      <x:c r="S57" s="82"/>
      <x:c r="T57" s="144" t="str">
        <x:f>IF(J57="","",J57-TODAY())</x:f>
      </x:c>
      <x:c r="U57" s="82" t="str">
        <x:f>IF(J57="","",IF(T57&lt;0,"EOL dépassée",IF(T57&lt;=180,"&lt; 6 mois",IF(T57&lt;=365,"&lt; 12 mois","OK"))))</x:f>
      </x:c>
    </x:row>
    <x:row r="58">
      <x:c r="A58" s="82"/>
      <x:c r="B58" s="82"/>
      <x:c r="C58" s="82"/>
      <x:c r="D58" s="82"/>
      <x:c r="E58" s="82"/>
      <x:c r="F58" s="82"/>
      <x:c r="G58" s="82"/>
      <x:c r="H58" s="82"/>
      <x:c r="I58" s="82"/>
      <x:c r="J58" s="110"/>
      <x:c r="K58" s="82"/>
      <x:c r="L58" s="82"/>
      <x:c r="M58" s="82"/>
      <x:c r="N58" s="82"/>
      <x:c r="O58" s="110"/>
      <x:c r="P58" s="82"/>
      <x:c r="Q58" s="82"/>
      <x:c r="R58" s="82"/>
      <x:c r="S58" s="82"/>
      <x:c r="T58" s="144" t="str">
        <x:f>IF(J58="","",J58-TODAY())</x:f>
      </x:c>
      <x:c r="U58" s="82" t="str">
        <x:f>IF(J58="","",IF(T58&lt;0,"EOL dépassée",IF(T58&lt;=180,"&lt; 6 mois",IF(T58&lt;=365,"&lt; 12 mois","OK"))))</x:f>
      </x:c>
    </x:row>
    <x:row r="59">
      <x:c r="A59" s="82"/>
      <x:c r="B59" s="82"/>
      <x:c r="C59" s="82"/>
      <x:c r="D59" s="82"/>
      <x:c r="E59" s="82"/>
      <x:c r="F59" s="82"/>
      <x:c r="G59" s="82"/>
      <x:c r="H59" s="82"/>
      <x:c r="I59" s="82"/>
      <x:c r="J59" s="110"/>
      <x:c r="K59" s="82"/>
      <x:c r="L59" s="82"/>
      <x:c r="M59" s="82"/>
      <x:c r="N59" s="82"/>
      <x:c r="O59" s="110"/>
      <x:c r="P59" s="82"/>
      <x:c r="Q59" s="82"/>
      <x:c r="R59" s="82"/>
      <x:c r="S59" s="82"/>
      <x:c r="T59" s="144" t="str">
        <x:f>IF(J59="","",J59-TODAY())</x:f>
      </x:c>
      <x:c r="U59" s="82" t="str">
        <x:f>IF(J59="","",IF(T59&lt;0,"EOL dépassée",IF(T59&lt;=180,"&lt; 6 mois",IF(T59&lt;=365,"&lt; 12 mois","OK"))))</x:f>
      </x:c>
    </x:row>
    <x:row r="60">
      <x:c r="A60" s="82"/>
      <x:c r="B60" s="82"/>
      <x:c r="C60" s="82"/>
      <x:c r="D60" s="82"/>
      <x:c r="E60" s="82"/>
      <x:c r="F60" s="82"/>
      <x:c r="G60" s="82"/>
      <x:c r="H60" s="82"/>
      <x:c r="I60" s="82"/>
      <x:c r="J60" s="110"/>
      <x:c r="K60" s="82"/>
      <x:c r="L60" s="82"/>
      <x:c r="M60" s="82"/>
      <x:c r="N60" s="82"/>
      <x:c r="O60" s="110"/>
      <x:c r="P60" s="82"/>
      <x:c r="Q60" s="82"/>
      <x:c r="R60" s="82"/>
      <x:c r="S60" s="82"/>
      <x:c r="T60" s="144" t="str">
        <x:f>IF(J60="","",J60-TODAY())</x:f>
      </x:c>
      <x:c r="U60" s="82" t="str">
        <x:f>IF(J60="","",IF(T60&lt;0,"EOL dépassée",IF(T60&lt;=180,"&lt; 6 mois",IF(T60&lt;=365,"&lt; 12 mois","OK"))))</x:f>
      </x:c>
    </x:row>
    <x:row r="61">
      <x:c r="A61" s="82"/>
      <x:c r="B61" s="82"/>
      <x:c r="C61" s="82"/>
      <x:c r="D61" s="82"/>
      <x:c r="E61" s="82"/>
      <x:c r="F61" s="82"/>
      <x:c r="G61" s="82"/>
      <x:c r="H61" s="82"/>
      <x:c r="I61" s="82"/>
      <x:c r="J61" s="110"/>
      <x:c r="K61" s="82"/>
      <x:c r="L61" s="82"/>
      <x:c r="M61" s="82"/>
      <x:c r="N61" s="82"/>
      <x:c r="O61" s="110"/>
      <x:c r="P61" s="82"/>
      <x:c r="Q61" s="82"/>
      <x:c r="R61" s="82"/>
      <x:c r="S61" s="82"/>
      <x:c r="T61" s="144" t="str">
        <x:f>IF(J61="","",J61-TODAY())</x:f>
      </x:c>
      <x:c r="U61" s="82" t="str">
        <x:f>IF(J61="","",IF(T61&lt;0,"EOL dépassée",IF(T61&lt;=180,"&lt; 6 mois",IF(T61&lt;=365,"&lt; 12 mois","OK"))))</x:f>
      </x:c>
    </x:row>
    <x:row r="62">
      <x:c r="A62" s="82"/>
      <x:c r="B62" s="82"/>
      <x:c r="C62" s="82"/>
      <x:c r="D62" s="82"/>
      <x:c r="E62" s="82"/>
      <x:c r="F62" s="82"/>
      <x:c r="G62" s="82"/>
      <x:c r="H62" s="82"/>
      <x:c r="I62" s="82"/>
      <x:c r="J62" s="110"/>
      <x:c r="K62" s="82"/>
      <x:c r="L62" s="82"/>
      <x:c r="M62" s="82"/>
      <x:c r="N62" s="82"/>
      <x:c r="O62" s="110"/>
      <x:c r="P62" s="82"/>
      <x:c r="Q62" s="82"/>
      <x:c r="R62" s="82"/>
      <x:c r="S62" s="82"/>
      <x:c r="T62" s="144" t="str">
        <x:f>IF(J62="","",J62-TODAY())</x:f>
      </x:c>
      <x:c r="U62" s="82" t="str">
        <x:f>IF(J62="","",IF(T62&lt;0,"EOL dépassée",IF(T62&lt;=180,"&lt; 6 mois",IF(T62&lt;=365,"&lt; 12 mois","OK"))))</x:f>
      </x:c>
    </x:row>
    <x:row r="63">
      <x:c r="A63" s="82"/>
      <x:c r="B63" s="82"/>
      <x:c r="C63" s="82"/>
      <x:c r="D63" s="82"/>
      <x:c r="E63" s="82"/>
      <x:c r="F63" s="82"/>
      <x:c r="G63" s="82"/>
      <x:c r="H63" s="82"/>
      <x:c r="I63" s="82"/>
      <x:c r="J63" s="110"/>
      <x:c r="K63" s="82"/>
      <x:c r="L63" s="82"/>
      <x:c r="M63" s="82"/>
      <x:c r="N63" s="82"/>
      <x:c r="O63" s="110"/>
      <x:c r="P63" s="82"/>
      <x:c r="Q63" s="82"/>
      <x:c r="R63" s="82"/>
      <x:c r="S63" s="82"/>
      <x:c r="T63" s="144" t="str">
        <x:f>IF(J63="","",J63-TODAY())</x:f>
      </x:c>
      <x:c r="U63" s="82" t="str">
        <x:f>IF(J63="","",IF(T63&lt;0,"EOL dépassée",IF(T63&lt;=180,"&lt; 6 mois",IF(T63&lt;=365,"&lt; 12 mois","OK"))))</x:f>
      </x:c>
    </x:row>
    <x:row r="64">
      <x:c r="A64" s="82"/>
      <x:c r="B64" s="82"/>
      <x:c r="C64" s="82"/>
      <x:c r="D64" s="82"/>
      <x:c r="E64" s="82"/>
      <x:c r="F64" s="82"/>
      <x:c r="G64" s="82"/>
      <x:c r="H64" s="82"/>
      <x:c r="I64" s="82"/>
      <x:c r="J64" s="110"/>
      <x:c r="K64" s="82"/>
      <x:c r="L64" s="82"/>
      <x:c r="M64" s="82"/>
      <x:c r="N64" s="82"/>
      <x:c r="O64" s="110"/>
      <x:c r="P64" s="82"/>
      <x:c r="Q64" s="82"/>
      <x:c r="R64" s="82"/>
      <x:c r="S64" s="82"/>
      <x:c r="T64" s="144" t="str">
        <x:f>IF(J64="","",J64-TODAY())</x:f>
      </x:c>
      <x:c r="U64" s="82" t="str">
        <x:f>IF(J64="","",IF(T64&lt;0,"EOL dépassée",IF(T64&lt;=180,"&lt; 6 mois",IF(T64&lt;=365,"&lt; 12 mois","OK"))))</x:f>
      </x:c>
    </x:row>
    <x:row r="65">
      <x:c r="A65" s="82"/>
      <x:c r="B65" s="82"/>
      <x:c r="C65" s="82"/>
      <x:c r="D65" s="82"/>
      <x:c r="E65" s="82"/>
      <x:c r="F65" s="82"/>
      <x:c r="G65" s="82"/>
      <x:c r="H65" s="82"/>
      <x:c r="I65" s="82"/>
      <x:c r="J65" s="110"/>
      <x:c r="K65" s="82"/>
      <x:c r="L65" s="82"/>
      <x:c r="M65" s="82"/>
      <x:c r="N65" s="82"/>
      <x:c r="O65" s="110"/>
      <x:c r="P65" s="82"/>
      <x:c r="Q65" s="82"/>
      <x:c r="R65" s="82"/>
      <x:c r="S65" s="82"/>
      <x:c r="T65" s="144" t="str">
        <x:f>IF(J65="","",J65-TODAY())</x:f>
      </x:c>
      <x:c r="U65" s="82" t="str">
        <x:f>IF(J65="","",IF(T65&lt;0,"EOL dépassée",IF(T65&lt;=180,"&lt; 6 mois",IF(T65&lt;=365,"&lt; 12 mois","OK"))))</x:f>
      </x:c>
    </x:row>
    <x:row r="66">
      <x:c r="A66" s="82"/>
      <x:c r="B66" s="82"/>
      <x:c r="C66" s="82"/>
      <x:c r="D66" s="82"/>
      <x:c r="E66" s="82"/>
      <x:c r="F66" s="82"/>
      <x:c r="G66" s="82"/>
      <x:c r="H66" s="82"/>
      <x:c r="I66" s="82"/>
      <x:c r="J66" s="110"/>
      <x:c r="K66" s="82"/>
      <x:c r="L66" s="82"/>
      <x:c r="M66" s="82"/>
      <x:c r="N66" s="82"/>
      <x:c r="O66" s="110"/>
      <x:c r="P66" s="82"/>
      <x:c r="Q66" s="82"/>
      <x:c r="R66" s="82"/>
      <x:c r="S66" s="82"/>
      <x:c r="T66" s="144" t="str">
        <x:f>IF(J66="","",J66-TODAY())</x:f>
      </x:c>
      <x:c r="U66" s="82" t="str">
        <x:f>IF(J66="","",IF(T66&lt;0,"EOL dépassée",IF(T66&lt;=180,"&lt; 6 mois",IF(T66&lt;=365,"&lt; 12 mois","OK"))))</x:f>
      </x:c>
    </x:row>
    <x:row r="67">
      <x:c r="A67" s="82"/>
      <x:c r="B67" s="82"/>
      <x:c r="C67" s="82"/>
      <x:c r="D67" s="82"/>
      <x:c r="E67" s="82"/>
      <x:c r="F67" s="82"/>
      <x:c r="G67" s="82"/>
      <x:c r="H67" s="82"/>
      <x:c r="I67" s="82"/>
      <x:c r="J67" s="110"/>
      <x:c r="K67" s="82"/>
      <x:c r="L67" s="82"/>
      <x:c r="M67" s="82"/>
      <x:c r="N67" s="82"/>
      <x:c r="O67" s="110"/>
      <x:c r="P67" s="82"/>
      <x:c r="Q67" s="82"/>
      <x:c r="R67" s="82"/>
      <x:c r="S67" s="82"/>
      <x:c r="T67" s="144" t="str">
        <x:f>IF(J67="","",J67-TODAY())</x:f>
      </x:c>
      <x:c r="U67" s="82" t="str">
        <x:f>IF(J67="","",IF(T67&lt;0,"EOL dépassée",IF(T67&lt;=180,"&lt; 6 mois",IF(T67&lt;=365,"&lt; 12 mois","OK"))))</x:f>
      </x:c>
    </x:row>
    <x:row r="68">
      <x:c r="A68" s="82"/>
      <x:c r="B68" s="82"/>
      <x:c r="C68" s="82"/>
      <x:c r="D68" s="82"/>
      <x:c r="E68" s="82"/>
      <x:c r="F68" s="82"/>
      <x:c r="G68" s="82"/>
      <x:c r="H68" s="82"/>
      <x:c r="I68" s="82"/>
      <x:c r="J68" s="110"/>
      <x:c r="K68" s="82"/>
      <x:c r="L68" s="82"/>
      <x:c r="M68" s="82"/>
      <x:c r="N68" s="82"/>
      <x:c r="O68" s="110"/>
      <x:c r="P68" s="82"/>
      <x:c r="Q68" s="82"/>
      <x:c r="R68" s="82"/>
      <x:c r="S68" s="82"/>
      <x:c r="T68" s="144" t="str">
        <x:f>IF(J68="","",J68-TODAY())</x:f>
      </x:c>
      <x:c r="U68" s="82" t="str">
        <x:f>IF(J68="","",IF(T68&lt;0,"EOL dépassée",IF(T68&lt;=180,"&lt; 6 mois",IF(T68&lt;=365,"&lt; 12 mois","OK"))))</x:f>
      </x:c>
    </x:row>
    <x:row r="69">
      <x:c r="A69" s="82"/>
      <x:c r="B69" s="82"/>
      <x:c r="C69" s="82"/>
      <x:c r="D69" s="82"/>
      <x:c r="E69" s="82"/>
      <x:c r="F69" s="82"/>
      <x:c r="G69" s="82"/>
      <x:c r="H69" s="82"/>
      <x:c r="I69" s="82"/>
      <x:c r="J69" s="110"/>
      <x:c r="K69" s="82"/>
      <x:c r="L69" s="82"/>
      <x:c r="M69" s="82"/>
      <x:c r="N69" s="82"/>
      <x:c r="O69" s="110"/>
      <x:c r="P69" s="82"/>
      <x:c r="Q69" s="82"/>
      <x:c r="R69" s="82"/>
      <x:c r="S69" s="82"/>
      <x:c r="T69" s="144" t="str">
        <x:f>IF(J69="","",J69-TODAY())</x:f>
      </x:c>
      <x:c r="U69" s="82" t="str">
        <x:f>IF(J69="","",IF(T69&lt;0,"EOL dépassée",IF(T69&lt;=180,"&lt; 6 mois",IF(T69&lt;=365,"&lt; 12 mois","OK"))))</x:f>
      </x:c>
    </x:row>
    <x:row r="70">
      <x:c r="A70" s="82"/>
      <x:c r="B70" s="82"/>
      <x:c r="C70" s="82"/>
      <x:c r="D70" s="82"/>
      <x:c r="E70" s="82"/>
      <x:c r="F70" s="82"/>
      <x:c r="G70" s="82"/>
      <x:c r="H70" s="82"/>
      <x:c r="I70" s="82"/>
      <x:c r="J70" s="110"/>
      <x:c r="K70" s="82"/>
      <x:c r="L70" s="82"/>
      <x:c r="M70" s="82"/>
      <x:c r="N70" s="82"/>
      <x:c r="O70" s="110"/>
      <x:c r="P70" s="82"/>
      <x:c r="Q70" s="82"/>
      <x:c r="R70" s="82"/>
      <x:c r="S70" s="82"/>
      <x:c r="T70" s="144" t="str">
        <x:f>IF(J70="","",J70-TODAY())</x:f>
      </x:c>
      <x:c r="U70" s="82" t="str">
        <x:f>IF(J70="","",IF(T70&lt;0,"EOL dépassée",IF(T70&lt;=180,"&lt; 6 mois",IF(T70&lt;=365,"&lt; 12 mois","OK"))))</x:f>
      </x:c>
    </x:row>
    <x:row r="71">
      <x:c r="A71" s="82"/>
      <x:c r="B71" s="82"/>
      <x:c r="C71" s="82"/>
      <x:c r="D71" s="82"/>
      <x:c r="E71" s="82"/>
      <x:c r="F71" s="82"/>
      <x:c r="G71" s="82"/>
      <x:c r="H71" s="82"/>
      <x:c r="I71" s="82"/>
      <x:c r="J71" s="110"/>
      <x:c r="K71" s="82"/>
      <x:c r="L71" s="82"/>
      <x:c r="M71" s="82"/>
      <x:c r="N71" s="82"/>
      <x:c r="O71" s="110"/>
      <x:c r="P71" s="82"/>
      <x:c r="Q71" s="82"/>
      <x:c r="R71" s="82"/>
      <x:c r="S71" s="82"/>
      <x:c r="T71" s="144" t="str">
        <x:f>IF(J71="","",J71-TODAY())</x:f>
      </x:c>
      <x:c r="U71" s="82" t="str">
        <x:f>IF(J71="","",IF(T71&lt;0,"EOL dépassée",IF(T71&lt;=180,"&lt; 6 mois",IF(T71&lt;=365,"&lt; 12 mois","OK"))))</x:f>
      </x:c>
    </x:row>
    <x:row r="72">
      <x:c r="A72" s="82"/>
      <x:c r="B72" s="82"/>
      <x:c r="C72" s="82"/>
      <x:c r="D72" s="82"/>
      <x:c r="E72" s="82"/>
      <x:c r="F72" s="82"/>
      <x:c r="G72" s="82"/>
      <x:c r="H72" s="82"/>
      <x:c r="I72" s="82"/>
      <x:c r="J72" s="110"/>
      <x:c r="K72" s="82"/>
      <x:c r="L72" s="82"/>
      <x:c r="M72" s="82"/>
      <x:c r="N72" s="82"/>
      <x:c r="O72" s="110"/>
      <x:c r="P72" s="82"/>
      <x:c r="Q72" s="82"/>
      <x:c r="R72" s="82"/>
      <x:c r="S72" s="82"/>
      <x:c r="T72" s="144" t="str">
        <x:f>IF(J72="","",J72-TODAY())</x:f>
      </x:c>
      <x:c r="U72" s="82" t="str">
        <x:f>IF(J72="","",IF(T72&lt;0,"EOL dépassée",IF(T72&lt;=180,"&lt; 6 mois",IF(T72&lt;=365,"&lt; 12 mois","OK"))))</x:f>
      </x:c>
    </x:row>
    <x:row r="73">
      <x:c r="A73" s="82"/>
      <x:c r="B73" s="82"/>
      <x:c r="C73" s="82"/>
      <x:c r="D73" s="82"/>
      <x:c r="E73" s="82"/>
      <x:c r="F73" s="82"/>
      <x:c r="G73" s="82"/>
      <x:c r="H73" s="82"/>
      <x:c r="I73" s="82"/>
      <x:c r="J73" s="110"/>
      <x:c r="K73" s="82"/>
      <x:c r="L73" s="82"/>
      <x:c r="M73" s="82"/>
      <x:c r="N73" s="82"/>
      <x:c r="O73" s="110"/>
      <x:c r="P73" s="82"/>
      <x:c r="Q73" s="82"/>
      <x:c r="R73" s="82"/>
      <x:c r="S73" s="82"/>
      <x:c r="T73" s="144" t="str">
        <x:f>IF(J73="","",J73-TODAY())</x:f>
      </x:c>
      <x:c r="U73" s="82" t="str">
        <x:f>IF(J73="","",IF(T73&lt;0,"EOL dépassée",IF(T73&lt;=180,"&lt; 6 mois",IF(T73&lt;=365,"&lt; 12 mois","OK"))))</x:f>
      </x:c>
    </x:row>
    <x:row r="74">
      <x:c r="A74" s="82"/>
      <x:c r="B74" s="82"/>
      <x:c r="C74" s="82"/>
      <x:c r="D74" s="82"/>
      <x:c r="E74" s="82"/>
      <x:c r="F74" s="82"/>
      <x:c r="G74" s="82"/>
      <x:c r="H74" s="82"/>
      <x:c r="I74" s="82"/>
      <x:c r="J74" s="110"/>
      <x:c r="K74" s="82"/>
      <x:c r="L74" s="82"/>
      <x:c r="M74" s="82"/>
      <x:c r="N74" s="82"/>
      <x:c r="O74" s="110"/>
      <x:c r="P74" s="82"/>
      <x:c r="Q74" s="82"/>
      <x:c r="R74" s="82"/>
      <x:c r="S74" s="82"/>
      <x:c r="T74" s="144" t="str">
        <x:f>IF(J74="","",J74-TODAY())</x:f>
      </x:c>
      <x:c r="U74" s="82" t="str">
        <x:f>IF(J74="","",IF(T74&lt;0,"EOL dépassée",IF(T74&lt;=180,"&lt; 6 mois",IF(T74&lt;=365,"&lt; 12 mois","OK"))))</x:f>
      </x:c>
    </x:row>
    <x:row r="75">
      <x:c r="A75" s="82"/>
      <x:c r="B75" s="82"/>
      <x:c r="C75" s="82"/>
      <x:c r="D75" s="82"/>
      <x:c r="E75" s="82"/>
      <x:c r="F75" s="82"/>
      <x:c r="G75" s="82"/>
      <x:c r="H75" s="82"/>
      <x:c r="I75" s="82"/>
      <x:c r="J75" s="110"/>
      <x:c r="K75" s="82"/>
      <x:c r="L75" s="82"/>
      <x:c r="M75" s="82"/>
      <x:c r="N75" s="82"/>
      <x:c r="O75" s="110"/>
      <x:c r="P75" s="82"/>
      <x:c r="Q75" s="82"/>
      <x:c r="R75" s="82"/>
      <x:c r="S75" s="82"/>
      <x:c r="T75" s="144" t="str">
        <x:f>IF(J75="","",J75-TODAY())</x:f>
      </x:c>
      <x:c r="U75" s="82" t="str">
        <x:f>IF(J75="","",IF(T75&lt;0,"EOL dépassée",IF(T75&lt;=180,"&lt; 6 mois",IF(T75&lt;=365,"&lt; 12 mois","OK"))))</x:f>
      </x:c>
    </x:row>
    <x:row r="76">
      <x:c r="A76" s="82"/>
      <x:c r="B76" s="82"/>
      <x:c r="C76" s="82"/>
      <x:c r="D76" s="82"/>
      <x:c r="E76" s="82"/>
      <x:c r="F76" s="82"/>
      <x:c r="G76" s="82"/>
      <x:c r="H76" s="82"/>
      <x:c r="I76" s="82"/>
      <x:c r="J76" s="110"/>
      <x:c r="K76" s="82"/>
      <x:c r="L76" s="82"/>
      <x:c r="M76" s="82"/>
      <x:c r="N76" s="82"/>
      <x:c r="O76" s="110"/>
      <x:c r="P76" s="82"/>
      <x:c r="Q76" s="82"/>
      <x:c r="R76" s="82"/>
      <x:c r="S76" s="82"/>
      <x:c r="T76" s="144" t="str">
        <x:f>IF(J76="","",J76-TODAY())</x:f>
      </x:c>
      <x:c r="U76" s="82" t="str">
        <x:f>IF(J76="","",IF(T76&lt;0,"EOL dépassée",IF(T76&lt;=180,"&lt; 6 mois",IF(T76&lt;=365,"&lt; 12 mois","OK"))))</x:f>
      </x:c>
    </x:row>
    <x:row r="77">
      <x:c r="A77" s="82"/>
      <x:c r="B77" s="82"/>
      <x:c r="C77" s="82"/>
      <x:c r="D77" s="82"/>
      <x:c r="E77" s="82"/>
      <x:c r="F77" s="82"/>
      <x:c r="G77" s="82"/>
      <x:c r="H77" s="82"/>
      <x:c r="I77" s="82"/>
      <x:c r="J77" s="110"/>
      <x:c r="K77" s="82"/>
      <x:c r="L77" s="82"/>
      <x:c r="M77" s="82"/>
      <x:c r="N77" s="82"/>
      <x:c r="O77" s="110"/>
      <x:c r="P77" s="82"/>
      <x:c r="Q77" s="82"/>
      <x:c r="R77" s="82"/>
      <x:c r="S77" s="82"/>
      <x:c r="T77" s="144" t="str">
        <x:f>IF(J77="","",J77-TODAY())</x:f>
      </x:c>
      <x:c r="U77" s="82" t="str">
        <x:f>IF(J77="","",IF(T77&lt;0,"EOL dépassée",IF(T77&lt;=180,"&lt; 6 mois",IF(T77&lt;=365,"&lt; 12 mois","OK"))))</x:f>
      </x:c>
    </x:row>
    <x:row r="78">
      <x:c r="A78" s="82"/>
      <x:c r="B78" s="82"/>
      <x:c r="C78" s="82"/>
      <x:c r="D78" s="82"/>
      <x:c r="E78" s="82"/>
      <x:c r="F78" s="82"/>
      <x:c r="G78" s="82"/>
      <x:c r="H78" s="82"/>
      <x:c r="I78" s="82"/>
      <x:c r="J78" s="110"/>
      <x:c r="K78" s="82"/>
      <x:c r="L78" s="82"/>
      <x:c r="M78" s="82"/>
      <x:c r="N78" s="82"/>
      <x:c r="O78" s="110"/>
      <x:c r="P78" s="82"/>
      <x:c r="Q78" s="82"/>
      <x:c r="R78" s="82"/>
      <x:c r="S78" s="82"/>
      <x:c r="T78" s="144" t="str">
        <x:f>IF(J78="","",J78-TODAY())</x:f>
      </x:c>
      <x:c r="U78" s="82" t="str">
        <x:f>IF(J78="","",IF(T78&lt;0,"EOL dépassée",IF(T78&lt;=180,"&lt; 6 mois",IF(T78&lt;=365,"&lt; 12 mois","OK"))))</x:f>
      </x:c>
    </x:row>
    <x:row r="79">
      <x:c r="A79" s="82"/>
      <x:c r="B79" s="82"/>
      <x:c r="C79" s="82"/>
      <x:c r="D79" s="82"/>
      <x:c r="E79" s="82"/>
      <x:c r="F79" s="82"/>
      <x:c r="G79" s="82"/>
      <x:c r="H79" s="82"/>
      <x:c r="I79" s="82"/>
      <x:c r="J79" s="110"/>
      <x:c r="K79" s="82"/>
      <x:c r="L79" s="82"/>
      <x:c r="M79" s="82"/>
      <x:c r="N79" s="82"/>
      <x:c r="O79" s="110"/>
      <x:c r="P79" s="82"/>
      <x:c r="Q79" s="82"/>
      <x:c r="R79" s="82"/>
      <x:c r="S79" s="82"/>
      <x:c r="T79" s="144" t="str">
        <x:f>IF(J79="","",J79-TODAY())</x:f>
      </x:c>
      <x:c r="U79" s="82" t="str">
        <x:f>IF(J79="","",IF(T79&lt;0,"EOL dépassée",IF(T79&lt;=180,"&lt; 6 mois",IF(T79&lt;=365,"&lt; 12 mois","OK"))))</x:f>
      </x:c>
    </x:row>
    <x:row r="80">
      <x:c r="A80" s="82"/>
      <x:c r="B80" s="82"/>
      <x:c r="C80" s="82"/>
      <x:c r="D80" s="82"/>
      <x:c r="E80" s="82"/>
      <x:c r="F80" s="82"/>
      <x:c r="G80" s="82"/>
      <x:c r="H80" s="82"/>
      <x:c r="I80" s="82"/>
      <x:c r="J80" s="110"/>
      <x:c r="K80" s="82"/>
      <x:c r="L80" s="82"/>
      <x:c r="M80" s="82"/>
      <x:c r="N80" s="82"/>
      <x:c r="O80" s="110"/>
      <x:c r="P80" s="82"/>
      <x:c r="Q80" s="82"/>
      <x:c r="R80" s="82"/>
      <x:c r="S80" s="82"/>
      <x:c r="T80" s="144" t="str">
        <x:f>IF(J80="","",J80-TODAY())</x:f>
      </x:c>
      <x:c r="U80" s="82" t="str">
        <x:f>IF(J80="","",IF(T80&lt;0,"EOL dépassée",IF(T80&lt;=180,"&lt; 6 mois",IF(T80&lt;=365,"&lt; 12 mois","OK"))))</x:f>
      </x:c>
    </x:row>
    <x:row r="81">
      <x:c r="A81" s="82"/>
      <x:c r="B81" s="82"/>
      <x:c r="C81" s="82"/>
      <x:c r="D81" s="82"/>
      <x:c r="E81" s="82"/>
      <x:c r="F81" s="82"/>
      <x:c r="G81" s="82"/>
      <x:c r="H81" s="82"/>
      <x:c r="I81" s="82"/>
      <x:c r="J81" s="110"/>
      <x:c r="K81" s="82"/>
      <x:c r="L81" s="82"/>
      <x:c r="M81" s="82"/>
      <x:c r="N81" s="82"/>
      <x:c r="O81" s="110"/>
      <x:c r="P81" s="82"/>
      <x:c r="Q81" s="82"/>
      <x:c r="R81" s="82"/>
      <x:c r="S81" s="82"/>
      <x:c r="T81" s="144" t="str">
        <x:f>IF(J81="","",J81-TODAY())</x:f>
      </x:c>
      <x:c r="U81" s="82" t="str">
        <x:f>IF(J81="","",IF(T81&lt;0,"EOL dépassée",IF(T81&lt;=180,"&lt; 6 mois",IF(T81&lt;=365,"&lt; 12 mois","OK"))))</x:f>
      </x:c>
    </x:row>
    <x:row r="82">
      <x:c r="A82" s="82"/>
      <x:c r="B82" s="82"/>
      <x:c r="C82" s="82"/>
      <x:c r="D82" s="82"/>
      <x:c r="E82" s="82"/>
      <x:c r="F82" s="82"/>
      <x:c r="G82" s="82"/>
      <x:c r="H82" s="82"/>
      <x:c r="I82" s="82"/>
      <x:c r="J82" s="110"/>
      <x:c r="K82" s="82"/>
      <x:c r="L82" s="82"/>
      <x:c r="M82" s="82"/>
      <x:c r="N82" s="82"/>
      <x:c r="O82" s="110"/>
      <x:c r="P82" s="82"/>
      <x:c r="Q82" s="82"/>
      <x:c r="R82" s="82"/>
      <x:c r="S82" s="82"/>
      <x:c r="T82" s="144" t="str">
        <x:f>IF(J82="","",J82-TODAY())</x:f>
      </x:c>
      <x:c r="U82" s="82" t="str">
        <x:f>IF(J82="","",IF(T82&lt;0,"EOL dépassée",IF(T82&lt;=180,"&lt; 6 mois",IF(T82&lt;=365,"&lt; 12 mois","OK"))))</x:f>
      </x:c>
    </x:row>
    <x:row r="83">
      <x:c r="A83" s="82"/>
      <x:c r="B83" s="82"/>
      <x:c r="C83" s="82"/>
      <x:c r="D83" s="82"/>
      <x:c r="E83" s="82"/>
      <x:c r="F83" s="82"/>
      <x:c r="G83" s="82"/>
      <x:c r="H83" s="82"/>
      <x:c r="I83" s="82"/>
      <x:c r="J83" s="110"/>
      <x:c r="K83" s="82"/>
      <x:c r="L83" s="82"/>
      <x:c r="M83" s="82"/>
      <x:c r="N83" s="82"/>
      <x:c r="O83" s="110"/>
      <x:c r="P83" s="82"/>
      <x:c r="Q83" s="82"/>
      <x:c r="R83" s="82"/>
      <x:c r="S83" s="82"/>
      <x:c r="T83" s="144" t="str">
        <x:f>IF(J83="","",J83-TODAY())</x:f>
      </x:c>
      <x:c r="U83" s="82" t="str">
        <x:f>IF(J83="","",IF(T83&lt;0,"EOL dépassée",IF(T83&lt;=180,"&lt; 6 mois",IF(T83&lt;=365,"&lt; 12 mois","OK"))))</x:f>
      </x:c>
    </x:row>
    <x:row r="84">
      <x:c r="A84" s="82"/>
      <x:c r="B84" s="82"/>
      <x:c r="C84" s="82"/>
      <x:c r="D84" s="82"/>
      <x:c r="E84" s="82"/>
      <x:c r="F84" s="82"/>
      <x:c r="G84" s="82"/>
      <x:c r="H84" s="82"/>
      <x:c r="I84" s="82"/>
      <x:c r="J84" s="110"/>
      <x:c r="K84" s="82"/>
      <x:c r="L84" s="82"/>
      <x:c r="M84" s="82"/>
      <x:c r="N84" s="82"/>
      <x:c r="O84" s="110"/>
      <x:c r="P84" s="82"/>
      <x:c r="Q84" s="82"/>
      <x:c r="R84" s="82"/>
      <x:c r="S84" s="82"/>
      <x:c r="T84" s="144" t="str">
        <x:f>IF(J84="","",J84-TODAY())</x:f>
      </x:c>
      <x:c r="U84" s="82" t="str">
        <x:f>IF(J84="","",IF(T84&lt;0,"EOL dépassée",IF(T84&lt;=180,"&lt; 6 mois",IF(T84&lt;=365,"&lt; 12 mois","OK"))))</x:f>
      </x:c>
    </x:row>
    <x:row r="85">
      <x:c r="A85" s="82"/>
      <x:c r="B85" s="82"/>
      <x:c r="C85" s="82"/>
      <x:c r="D85" s="82"/>
      <x:c r="E85" s="82"/>
      <x:c r="F85" s="82"/>
      <x:c r="G85" s="82"/>
      <x:c r="H85" s="82"/>
      <x:c r="I85" s="82"/>
      <x:c r="J85" s="110"/>
      <x:c r="K85" s="82"/>
      <x:c r="L85" s="82"/>
      <x:c r="M85" s="82"/>
      <x:c r="N85" s="82"/>
      <x:c r="O85" s="110"/>
      <x:c r="P85" s="82"/>
      <x:c r="Q85" s="82"/>
      <x:c r="R85" s="82"/>
      <x:c r="S85" s="82"/>
      <x:c r="T85" s="144" t="str">
        <x:f>IF(J85="","",J85-TODAY())</x:f>
      </x:c>
      <x:c r="U85" s="82" t="str">
        <x:f>IF(J85="","",IF(T85&lt;0,"EOL dépassée",IF(T85&lt;=180,"&lt; 6 mois",IF(T85&lt;=365,"&lt; 12 mois","OK"))))</x:f>
      </x:c>
    </x:row>
    <x:row r="86">
      <x:c r="A86" s="82"/>
      <x:c r="B86" s="82"/>
      <x:c r="C86" s="82"/>
      <x:c r="D86" s="82"/>
      <x:c r="E86" s="82"/>
      <x:c r="F86" s="82"/>
      <x:c r="G86" s="82"/>
      <x:c r="H86" s="82"/>
      <x:c r="I86" s="82"/>
      <x:c r="J86" s="110"/>
      <x:c r="K86" s="82"/>
      <x:c r="L86" s="82"/>
      <x:c r="M86" s="82"/>
      <x:c r="N86" s="82"/>
      <x:c r="O86" s="110"/>
      <x:c r="P86" s="82"/>
      <x:c r="Q86" s="82"/>
      <x:c r="R86" s="82"/>
      <x:c r="S86" s="82"/>
      <x:c r="T86" s="144" t="str">
        <x:f>IF(J86="","",J86-TODAY())</x:f>
      </x:c>
      <x:c r="U86" s="82" t="str">
        <x:f>IF(J86="","",IF(T86&lt;0,"EOL dépassée",IF(T86&lt;=180,"&lt; 6 mois",IF(T86&lt;=365,"&lt; 12 mois","OK"))))</x:f>
      </x:c>
    </x:row>
    <x:row r="87">
      <x:c r="A87" s="82"/>
      <x:c r="B87" s="82"/>
      <x:c r="C87" s="82"/>
      <x:c r="D87" s="82"/>
      <x:c r="E87" s="82"/>
      <x:c r="F87" s="82"/>
      <x:c r="G87" s="82"/>
      <x:c r="H87" s="82"/>
      <x:c r="I87" s="82"/>
      <x:c r="J87" s="110"/>
      <x:c r="K87" s="82"/>
      <x:c r="L87" s="82"/>
      <x:c r="M87" s="82"/>
      <x:c r="N87" s="82"/>
      <x:c r="O87" s="110"/>
      <x:c r="P87" s="82"/>
      <x:c r="Q87" s="82"/>
      <x:c r="R87" s="82"/>
      <x:c r="S87" s="82"/>
      <x:c r="T87" s="144" t="str">
        <x:f>IF(J87="","",J87-TODAY())</x:f>
      </x:c>
      <x:c r="U87" s="82" t="str">
        <x:f>IF(J87="","",IF(T87&lt;0,"EOL dépassée",IF(T87&lt;=180,"&lt; 6 mois",IF(T87&lt;=365,"&lt; 12 mois","OK"))))</x:f>
      </x:c>
    </x:row>
    <x:row r="88">
      <x:c r="A88" s="82"/>
      <x:c r="B88" s="82"/>
      <x:c r="C88" s="82"/>
      <x:c r="D88" s="82"/>
      <x:c r="E88" s="82"/>
      <x:c r="F88" s="82"/>
      <x:c r="G88" s="82"/>
      <x:c r="H88" s="82"/>
      <x:c r="I88" s="82"/>
      <x:c r="J88" s="110"/>
      <x:c r="K88" s="82"/>
      <x:c r="L88" s="82"/>
      <x:c r="M88" s="82"/>
      <x:c r="N88" s="82"/>
      <x:c r="O88" s="110"/>
      <x:c r="P88" s="82"/>
      <x:c r="Q88" s="82"/>
      <x:c r="R88" s="82"/>
      <x:c r="S88" s="82"/>
      <x:c r="T88" s="144" t="str">
        <x:f>IF(J88="","",J88-TODAY())</x:f>
      </x:c>
      <x:c r="U88" s="82" t="str">
        <x:f>IF(J88="","",IF(T88&lt;0,"EOL dépassée",IF(T88&lt;=180,"&lt; 6 mois",IF(T88&lt;=365,"&lt; 12 mois","OK"))))</x:f>
      </x:c>
    </x:row>
    <x:row r="89">
      <x:c r="A89" s="82"/>
      <x:c r="B89" s="82"/>
      <x:c r="C89" s="82"/>
      <x:c r="D89" s="82"/>
      <x:c r="E89" s="82"/>
      <x:c r="F89" s="82"/>
      <x:c r="G89" s="82"/>
      <x:c r="H89" s="82"/>
      <x:c r="I89" s="82"/>
      <x:c r="J89" s="110"/>
      <x:c r="K89" s="82"/>
      <x:c r="L89" s="82"/>
      <x:c r="M89" s="82"/>
      <x:c r="N89" s="82"/>
      <x:c r="O89" s="110"/>
      <x:c r="P89" s="82"/>
      <x:c r="Q89" s="82"/>
      <x:c r="R89" s="82"/>
      <x:c r="S89" s="82"/>
      <x:c r="T89" s="144" t="str">
        <x:f>IF(J89="","",J89-TODAY())</x:f>
      </x:c>
      <x:c r="U89" s="82" t="str">
        <x:f>IF(J89="","",IF(T89&lt;0,"EOL dépassée",IF(T89&lt;=180,"&lt; 6 mois",IF(T89&lt;=365,"&lt; 12 mois","OK"))))</x:f>
      </x:c>
    </x:row>
    <x:row r="90">
      <x:c r="A90" s="82"/>
      <x:c r="B90" s="82"/>
      <x:c r="C90" s="82"/>
      <x:c r="D90" s="82"/>
      <x:c r="E90" s="82"/>
      <x:c r="F90" s="82"/>
      <x:c r="G90" s="82"/>
      <x:c r="H90" s="82"/>
      <x:c r="I90" s="82"/>
      <x:c r="J90" s="110"/>
      <x:c r="K90" s="82"/>
      <x:c r="L90" s="82"/>
      <x:c r="M90" s="82"/>
      <x:c r="N90" s="82"/>
      <x:c r="O90" s="110"/>
      <x:c r="P90" s="82"/>
      <x:c r="Q90" s="82"/>
      <x:c r="R90" s="82"/>
      <x:c r="S90" s="82"/>
      <x:c r="T90" s="144" t="str">
        <x:f>IF(J90="","",J90-TODAY())</x:f>
      </x:c>
      <x:c r="U90" s="82" t="str">
        <x:f>IF(J90="","",IF(T90&lt;0,"EOL dépassée",IF(T90&lt;=180,"&lt; 6 mois",IF(T90&lt;=365,"&lt; 12 mois","OK"))))</x:f>
      </x:c>
    </x:row>
    <x:row r="91">
      <x:c r="A91" s="82"/>
      <x:c r="B91" s="82"/>
      <x:c r="C91" s="82"/>
      <x:c r="D91" s="82"/>
      <x:c r="E91" s="82"/>
      <x:c r="F91" s="82"/>
      <x:c r="G91" s="82"/>
      <x:c r="H91" s="82"/>
      <x:c r="I91" s="82"/>
      <x:c r="J91" s="110"/>
      <x:c r="K91" s="82"/>
      <x:c r="L91" s="82"/>
      <x:c r="M91" s="82"/>
      <x:c r="N91" s="82"/>
      <x:c r="O91" s="110"/>
      <x:c r="P91" s="82"/>
      <x:c r="Q91" s="82"/>
      <x:c r="R91" s="82"/>
      <x:c r="S91" s="82"/>
      <x:c r="T91" s="144" t="str">
        <x:f>IF(J91="","",J91-TODAY())</x:f>
      </x:c>
      <x:c r="U91" s="82" t="str">
        <x:f>IF(J91="","",IF(T91&lt;0,"EOL dépassée",IF(T91&lt;=180,"&lt; 6 mois",IF(T91&lt;=365,"&lt; 12 mois","OK"))))</x:f>
      </x:c>
    </x:row>
    <x:row r="92">
      <x:c r="A92" s="82"/>
      <x:c r="B92" s="82"/>
      <x:c r="C92" s="82"/>
      <x:c r="D92" s="82"/>
      <x:c r="E92" s="82"/>
      <x:c r="F92" s="82"/>
      <x:c r="G92" s="82"/>
      <x:c r="H92" s="82"/>
      <x:c r="I92" s="82"/>
      <x:c r="J92" s="110"/>
      <x:c r="K92" s="82"/>
      <x:c r="L92" s="82"/>
      <x:c r="M92" s="82"/>
      <x:c r="N92" s="82"/>
      <x:c r="O92" s="110"/>
      <x:c r="P92" s="82"/>
      <x:c r="Q92" s="82"/>
      <x:c r="R92" s="82"/>
      <x:c r="S92" s="82"/>
      <x:c r="T92" s="144" t="str">
        <x:f>IF(J92="","",J92-TODAY())</x:f>
      </x:c>
      <x:c r="U92" s="82" t="str">
        <x:f>IF(J92="","",IF(T92&lt;0,"EOL dépassée",IF(T92&lt;=180,"&lt; 6 mois",IF(T92&lt;=365,"&lt; 12 mois","OK"))))</x:f>
      </x:c>
    </x:row>
    <x:row r="93">
      <x:c r="A93" s="82"/>
      <x:c r="B93" s="82"/>
      <x:c r="C93" s="82"/>
      <x:c r="D93" s="82"/>
      <x:c r="E93" s="82"/>
      <x:c r="F93" s="82"/>
      <x:c r="G93" s="82"/>
      <x:c r="H93" s="82"/>
      <x:c r="I93" s="82"/>
      <x:c r="J93" s="110"/>
      <x:c r="K93" s="82"/>
      <x:c r="L93" s="82"/>
      <x:c r="M93" s="82"/>
      <x:c r="N93" s="82"/>
      <x:c r="O93" s="110"/>
      <x:c r="P93" s="82"/>
      <x:c r="Q93" s="82"/>
      <x:c r="R93" s="82"/>
      <x:c r="S93" s="82"/>
      <x:c r="T93" s="144" t="str">
        <x:f>IF(J93="","",J93-TODAY())</x:f>
      </x:c>
      <x:c r="U93" s="82" t="str">
        <x:f>IF(J93="","",IF(T93&lt;0,"EOL dépassée",IF(T93&lt;=180,"&lt; 6 mois",IF(T93&lt;=365,"&lt; 12 mois","OK"))))</x:f>
      </x:c>
    </x:row>
    <x:row r="94">
      <x:c r="A94" s="82"/>
      <x:c r="B94" s="82"/>
      <x:c r="C94" s="82"/>
      <x:c r="D94" s="82"/>
      <x:c r="E94" s="82"/>
      <x:c r="F94" s="82"/>
      <x:c r="G94" s="82"/>
      <x:c r="H94" s="82"/>
      <x:c r="I94" s="82"/>
      <x:c r="J94" s="110"/>
      <x:c r="K94" s="82"/>
      <x:c r="L94" s="82"/>
      <x:c r="M94" s="82"/>
      <x:c r="N94" s="82"/>
      <x:c r="O94" s="110"/>
      <x:c r="P94" s="82"/>
      <x:c r="Q94" s="82"/>
      <x:c r="R94" s="82"/>
      <x:c r="S94" s="82"/>
      <x:c r="T94" s="144" t="str">
        <x:f>IF(J94="","",J94-TODAY())</x:f>
      </x:c>
      <x:c r="U94" s="82" t="str">
        <x:f>IF(J94="","",IF(T94&lt;0,"EOL dépassée",IF(T94&lt;=180,"&lt; 6 mois",IF(T94&lt;=365,"&lt; 12 mois","OK"))))</x:f>
      </x:c>
    </x:row>
    <x:row r="95">
      <x:c r="A95" s="82"/>
      <x:c r="B95" s="82"/>
      <x:c r="C95" s="82"/>
      <x:c r="D95" s="82"/>
      <x:c r="E95" s="82"/>
      <x:c r="F95" s="82"/>
      <x:c r="G95" s="82"/>
      <x:c r="H95" s="82"/>
      <x:c r="I95" s="82"/>
      <x:c r="J95" s="110"/>
      <x:c r="K95" s="82"/>
      <x:c r="L95" s="82"/>
      <x:c r="M95" s="82"/>
      <x:c r="N95" s="82"/>
      <x:c r="O95" s="110"/>
      <x:c r="P95" s="82"/>
      <x:c r="Q95" s="82"/>
      <x:c r="R95" s="82"/>
      <x:c r="S95" s="82"/>
      <x:c r="T95" s="144" t="str">
        <x:f>IF(J95="","",J95-TODAY())</x:f>
      </x:c>
      <x:c r="U95" s="82" t="str">
        <x:f>IF(J95="","",IF(T95&lt;0,"EOL dépassée",IF(T95&lt;=180,"&lt; 6 mois",IF(T95&lt;=365,"&lt; 12 mois","OK"))))</x:f>
      </x:c>
    </x:row>
    <x:row r="96">
      <x:c r="A96" s="82"/>
      <x:c r="B96" s="82"/>
      <x:c r="C96" s="82"/>
      <x:c r="D96" s="82"/>
      <x:c r="E96" s="82"/>
      <x:c r="F96" s="82"/>
      <x:c r="G96" s="82"/>
      <x:c r="H96" s="82"/>
      <x:c r="I96" s="82"/>
      <x:c r="J96" s="110"/>
      <x:c r="K96" s="82"/>
      <x:c r="L96" s="82"/>
      <x:c r="M96" s="82"/>
      <x:c r="N96" s="82"/>
      <x:c r="O96" s="110"/>
      <x:c r="P96" s="82"/>
      <x:c r="Q96" s="82"/>
      <x:c r="R96" s="82"/>
      <x:c r="S96" s="82"/>
      <x:c r="T96" s="144" t="str">
        <x:f>IF(J96="","",J96-TODAY())</x:f>
      </x:c>
      <x:c r="U96" s="82" t="str">
        <x:f>IF(J96="","",IF(T96&lt;0,"EOL dépassée",IF(T96&lt;=180,"&lt; 6 mois",IF(T96&lt;=365,"&lt; 12 mois","OK"))))</x:f>
      </x:c>
    </x:row>
    <x:row r="97">
      <x:c r="A97" s="82"/>
      <x:c r="B97" s="82"/>
      <x:c r="C97" s="82"/>
      <x:c r="D97" s="82"/>
      <x:c r="E97" s="82"/>
      <x:c r="F97" s="82"/>
      <x:c r="G97" s="82"/>
      <x:c r="H97" s="82"/>
      <x:c r="I97" s="82"/>
      <x:c r="J97" s="110"/>
      <x:c r="K97" s="82"/>
      <x:c r="L97" s="82"/>
      <x:c r="M97" s="82"/>
      <x:c r="N97" s="82"/>
      <x:c r="O97" s="110"/>
      <x:c r="P97" s="82"/>
      <x:c r="Q97" s="82"/>
      <x:c r="R97" s="82"/>
      <x:c r="S97" s="82"/>
      <x:c r="T97" s="144" t="str">
        <x:f>IF(J97="","",J97-TODAY())</x:f>
      </x:c>
      <x:c r="U97" s="82" t="str">
        <x:f>IF(J97="","",IF(T97&lt;0,"EOL dépassée",IF(T97&lt;=180,"&lt; 6 mois",IF(T97&lt;=365,"&lt; 12 mois","OK"))))</x:f>
      </x:c>
    </x:row>
    <x:row r="98">
      <x:c r="A98" s="82"/>
      <x:c r="B98" s="82"/>
      <x:c r="C98" s="82"/>
      <x:c r="D98" s="82"/>
      <x:c r="E98" s="82"/>
      <x:c r="F98" s="82"/>
      <x:c r="G98" s="82"/>
      <x:c r="H98" s="82"/>
      <x:c r="I98" s="82"/>
      <x:c r="J98" s="110"/>
      <x:c r="K98" s="82"/>
      <x:c r="L98" s="82"/>
      <x:c r="M98" s="82"/>
      <x:c r="N98" s="82"/>
      <x:c r="O98" s="110"/>
      <x:c r="P98" s="82"/>
      <x:c r="Q98" s="82"/>
      <x:c r="R98" s="82"/>
      <x:c r="S98" s="82"/>
      <x:c r="T98" s="144" t="str">
        <x:f>IF(J98="","",J98-TODAY())</x:f>
      </x:c>
      <x:c r="U98" s="82" t="str">
        <x:f>IF(J98="","",IF(T98&lt;0,"EOL dépassée",IF(T98&lt;=180,"&lt; 6 mois",IF(T98&lt;=365,"&lt; 12 mois","OK"))))</x:f>
      </x:c>
    </x:row>
    <x:row r="99">
      <x:c r="A99" s="82"/>
      <x:c r="B99" s="82"/>
      <x:c r="C99" s="82"/>
      <x:c r="D99" s="82"/>
      <x:c r="E99" s="82"/>
      <x:c r="F99" s="82"/>
      <x:c r="G99" s="82"/>
      <x:c r="H99" s="82"/>
      <x:c r="I99" s="82"/>
      <x:c r="J99" s="110"/>
      <x:c r="K99" s="82"/>
      <x:c r="L99" s="82"/>
      <x:c r="M99" s="82"/>
      <x:c r="N99" s="82"/>
      <x:c r="O99" s="110"/>
      <x:c r="P99" s="82"/>
      <x:c r="Q99" s="82"/>
      <x:c r="R99" s="82"/>
      <x:c r="S99" s="82"/>
      <x:c r="T99" s="144" t="str">
        <x:f>IF(J99="","",J99-TODAY())</x:f>
      </x:c>
      <x:c r="U99" s="82" t="str">
        <x:f>IF(J99="","",IF(T99&lt;0,"EOL dépassée",IF(T99&lt;=180,"&lt; 6 mois",IF(T99&lt;=365,"&lt; 12 mois","OK"))))</x:f>
      </x:c>
    </x:row>
    <x:row r="100">
      <x:c r="A100" s="82"/>
      <x:c r="B100" s="82"/>
      <x:c r="C100" s="82"/>
      <x:c r="D100" s="82"/>
      <x:c r="E100" s="82"/>
      <x:c r="F100" s="82"/>
      <x:c r="G100" s="82"/>
      <x:c r="H100" s="82"/>
      <x:c r="I100" s="82"/>
      <x:c r="J100" s="110"/>
      <x:c r="K100" s="82"/>
      <x:c r="L100" s="82"/>
      <x:c r="M100" s="82"/>
      <x:c r="N100" s="82"/>
      <x:c r="O100" s="110"/>
      <x:c r="P100" s="82"/>
      <x:c r="Q100" s="82"/>
      <x:c r="R100" s="82"/>
      <x:c r="S100" s="82"/>
      <x:c r="T100" s="144" t="str">
        <x:f>IF(J100="","",J100-TODAY())</x:f>
      </x:c>
      <x:c r="U100" s="82" t="str">
        <x:f>IF(J100="","",IF(T100&lt;0,"EOL dépassée",IF(T100&lt;=180,"&lt; 6 mois",IF(T100&lt;=365,"&lt; 12 mois","OK"))))</x:f>
      </x:c>
    </x:row>
    <x:row r="101">
      <x:c r="A101" s="82"/>
      <x:c r="B101" s="82"/>
      <x:c r="C101" s="82"/>
      <x:c r="D101" s="82"/>
      <x:c r="E101" s="82"/>
      <x:c r="F101" s="82"/>
      <x:c r="G101" s="82"/>
      <x:c r="H101" s="82"/>
      <x:c r="I101" s="82"/>
      <x:c r="J101" s="110"/>
      <x:c r="K101" s="82"/>
      <x:c r="L101" s="82"/>
      <x:c r="M101" s="82"/>
      <x:c r="N101" s="82"/>
      <x:c r="O101" s="110"/>
      <x:c r="P101" s="82"/>
      <x:c r="Q101" s="82"/>
      <x:c r="R101" s="82"/>
      <x:c r="S101" s="82"/>
      <x:c r="T101" s="144" t="str">
        <x:f>IF(J101="","",J101-TODAY())</x:f>
      </x:c>
      <x:c r="U101" s="82" t="str">
        <x:f>IF(J101="","",IF(T101&lt;0,"EOL dépassée",IF(T101&lt;=180,"&lt; 6 mois",IF(T101&lt;=365,"&lt; 12 mois","OK"))))</x:f>
      </x:c>
    </x:row>
    <x:row r="102">
      <x:c r="A102" s="82"/>
      <x:c r="B102" s="82"/>
      <x:c r="C102" s="82"/>
      <x:c r="D102" s="82"/>
      <x:c r="E102" s="82"/>
      <x:c r="F102" s="82"/>
      <x:c r="G102" s="82"/>
      <x:c r="H102" s="82"/>
      <x:c r="I102" s="82"/>
      <x:c r="J102" s="110"/>
      <x:c r="K102" s="82"/>
      <x:c r="L102" s="82"/>
      <x:c r="M102" s="82"/>
      <x:c r="N102" s="82"/>
      <x:c r="O102" s="110"/>
      <x:c r="P102" s="82"/>
      <x:c r="Q102" s="82"/>
      <x:c r="R102" s="82"/>
      <x:c r="S102" s="82"/>
      <x:c r="T102" s="144" t="str">
        <x:f>IF(J102="","",J102-TODAY())</x:f>
      </x:c>
      <x:c r="U102" s="82" t="str">
        <x:f>IF(J102="","",IF(T102&lt;0,"EOL dépassée",IF(T102&lt;=180,"&lt; 6 mois",IF(T102&lt;=365,"&lt; 12 mois","OK"))))</x:f>
      </x:c>
    </x:row>
    <x:row r="103">
      <x:c r="A103" s="82"/>
      <x:c r="B103" s="82"/>
      <x:c r="C103" s="82"/>
      <x:c r="D103" s="82"/>
      <x:c r="E103" s="82"/>
      <x:c r="F103" s="82"/>
      <x:c r="G103" s="82"/>
      <x:c r="H103" s="82"/>
      <x:c r="I103" s="82"/>
      <x:c r="J103" s="110"/>
      <x:c r="K103" s="82"/>
      <x:c r="L103" s="82"/>
      <x:c r="M103" s="82"/>
      <x:c r="N103" s="82"/>
      <x:c r="O103" s="110"/>
      <x:c r="P103" s="82"/>
      <x:c r="Q103" s="82"/>
      <x:c r="R103" s="82"/>
      <x:c r="S103" s="82"/>
      <x:c r="T103" s="144" t="str">
        <x:f>IF(J103="","",J103-TODAY())</x:f>
      </x:c>
      <x:c r="U103" s="82" t="str">
        <x:f>IF(J103="","",IF(T103&lt;0,"EOL dépassée",IF(T103&lt;=180,"&lt; 6 mois",IF(T103&lt;=365,"&lt; 12 mois","OK"))))</x:f>
      </x:c>
    </x:row>
    <x:row r="104">
      <x:c r="A104" s="82"/>
      <x:c r="B104" s="82"/>
      <x:c r="C104" s="82"/>
      <x:c r="D104" s="82"/>
      <x:c r="E104" s="82"/>
      <x:c r="F104" s="82"/>
      <x:c r="G104" s="82"/>
      <x:c r="H104" s="82"/>
      <x:c r="I104" s="82"/>
      <x:c r="J104" s="110"/>
      <x:c r="K104" s="82"/>
      <x:c r="L104" s="82"/>
      <x:c r="M104" s="82"/>
      <x:c r="N104" s="82"/>
      <x:c r="O104" s="110"/>
      <x:c r="P104" s="82"/>
      <x:c r="Q104" s="82"/>
      <x:c r="R104" s="82"/>
      <x:c r="S104" s="82"/>
      <x:c r="T104" s="144" t="str">
        <x:f>IF(J104="","",J104-TODAY())</x:f>
      </x:c>
      <x:c r="U104" s="82" t="str">
        <x:f>IF(J104="","",IF(T104&lt;0,"EOL dépassée",IF(T104&lt;=180,"&lt; 6 mois",IF(T104&lt;=365,"&lt; 12 mois","OK"))))</x:f>
      </x:c>
    </x:row>
    <x:row r="105">
      <x:c r="A105" s="82"/>
      <x:c r="B105" s="82"/>
      <x:c r="C105" s="82"/>
      <x:c r="D105" s="82"/>
      <x:c r="E105" s="82"/>
      <x:c r="F105" s="82"/>
      <x:c r="G105" s="82"/>
      <x:c r="H105" s="82"/>
      <x:c r="I105" s="82"/>
      <x:c r="J105" s="110"/>
      <x:c r="K105" s="82"/>
      <x:c r="L105" s="82"/>
      <x:c r="M105" s="82"/>
      <x:c r="N105" s="82"/>
      <x:c r="O105" s="110"/>
      <x:c r="P105" s="82"/>
      <x:c r="Q105" s="82"/>
      <x:c r="R105" s="82"/>
      <x:c r="S105" s="82"/>
      <x:c r="T105" s="144" t="str">
        <x:f>IF(J105="","",J105-TODAY())</x:f>
      </x:c>
      <x:c r="U105" s="82" t="str">
        <x:f>IF(J105="","",IF(T105&lt;0,"EOL dépassée",IF(T105&lt;=180,"&lt; 6 mois",IF(T105&lt;=365,"&lt; 12 mois","OK"))))</x:f>
      </x:c>
    </x:row>
    <x:row r="106">
      <x:c r="A106" s="82"/>
      <x:c r="B106" s="82"/>
      <x:c r="C106" s="82"/>
      <x:c r="D106" s="82"/>
      <x:c r="E106" s="82"/>
      <x:c r="F106" s="82"/>
      <x:c r="G106" s="82"/>
      <x:c r="H106" s="82"/>
      <x:c r="I106" s="82"/>
      <x:c r="J106" s="110"/>
      <x:c r="K106" s="82"/>
      <x:c r="L106" s="82"/>
      <x:c r="M106" s="82"/>
      <x:c r="N106" s="82"/>
      <x:c r="O106" s="110"/>
      <x:c r="P106" s="82"/>
      <x:c r="Q106" s="82"/>
      <x:c r="R106" s="82"/>
      <x:c r="S106" s="82"/>
      <x:c r="T106" s="144" t="str">
        <x:f>IF(J106="","",J106-TODAY())</x:f>
      </x:c>
      <x:c r="U106" s="82" t="str">
        <x:f>IF(J106="","",IF(T106&lt;0,"EOL dépassée",IF(T106&lt;=180,"&lt; 6 mois",IF(T106&lt;=365,"&lt; 12 mois","OK"))))</x:f>
      </x:c>
    </x:row>
    <x:row r="107">
      <x:c r="A107" s="82"/>
      <x:c r="B107" s="82"/>
      <x:c r="C107" s="82"/>
      <x:c r="D107" s="82"/>
      <x:c r="E107" s="82"/>
      <x:c r="F107" s="82"/>
      <x:c r="G107" s="82"/>
      <x:c r="H107" s="82"/>
      <x:c r="I107" s="82"/>
      <x:c r="J107" s="110"/>
      <x:c r="K107" s="82"/>
      <x:c r="L107" s="82"/>
      <x:c r="M107" s="82"/>
      <x:c r="N107" s="82"/>
      <x:c r="O107" s="110"/>
      <x:c r="P107" s="82"/>
      <x:c r="Q107" s="82"/>
      <x:c r="R107" s="82"/>
      <x:c r="S107" s="82"/>
      <x:c r="T107" s="144" t="str">
        <x:f>IF(J107="","",J107-TODAY())</x:f>
      </x:c>
      <x:c r="U107" s="82" t="str">
        <x:f>IF(J107="","",IF(T107&lt;0,"EOL dépassée",IF(T107&lt;=180,"&lt; 6 mois",IF(T107&lt;=365,"&lt; 12 mois","OK"))))</x:f>
      </x:c>
    </x:row>
    <x:row r="108">
      <x:c r="A108" s="82"/>
      <x:c r="B108" s="82"/>
      <x:c r="C108" s="82"/>
      <x:c r="D108" s="82"/>
      <x:c r="E108" s="82"/>
      <x:c r="F108" s="82"/>
      <x:c r="G108" s="82"/>
      <x:c r="H108" s="82"/>
      <x:c r="I108" s="82"/>
      <x:c r="J108" s="110"/>
      <x:c r="K108" s="82"/>
      <x:c r="L108" s="82"/>
      <x:c r="M108" s="82"/>
      <x:c r="N108" s="82"/>
      <x:c r="O108" s="110"/>
      <x:c r="P108" s="82"/>
      <x:c r="Q108" s="82"/>
      <x:c r="R108" s="82"/>
      <x:c r="S108" s="82"/>
      <x:c r="T108" s="144" t="str">
        <x:f>IF(J108="","",J108-TODAY())</x:f>
      </x:c>
      <x:c r="U108" s="82" t="str">
        <x:f>IF(J108="","",IF(T108&lt;0,"EOL dépassée",IF(T108&lt;=180,"&lt; 6 mois",IF(T108&lt;=365,"&lt; 12 mois","OK"))))</x:f>
      </x:c>
    </x:row>
    <x:row r="109">
      <x:c r="A109" s="82"/>
      <x:c r="B109" s="82"/>
      <x:c r="C109" s="82"/>
      <x:c r="D109" s="82"/>
      <x:c r="E109" s="82"/>
      <x:c r="F109" s="82"/>
      <x:c r="G109" s="82"/>
      <x:c r="H109" s="82"/>
      <x:c r="I109" s="82"/>
      <x:c r="J109" s="110"/>
      <x:c r="K109" s="82"/>
      <x:c r="L109" s="82"/>
      <x:c r="M109" s="82"/>
      <x:c r="N109" s="82"/>
      <x:c r="O109" s="110"/>
      <x:c r="P109" s="82"/>
      <x:c r="Q109" s="82"/>
      <x:c r="R109" s="82"/>
      <x:c r="S109" s="82"/>
      <x:c r="T109" s="144" t="str">
        <x:f>IF(J109="","",J109-TODAY())</x:f>
      </x:c>
      <x:c r="U109" s="82" t="str">
        <x:f>IF(J109="","",IF(T109&lt;0,"EOL dépassée",IF(T109&lt;=180,"&lt; 6 mois",IF(T109&lt;=365,"&lt; 12 mois","OK"))))</x:f>
      </x:c>
    </x:row>
    <x:row r="110">
      <x:c r="A110" s="82"/>
      <x:c r="B110" s="82"/>
      <x:c r="C110" s="82"/>
      <x:c r="D110" s="82"/>
      <x:c r="E110" s="82"/>
      <x:c r="F110" s="82"/>
      <x:c r="G110" s="82"/>
      <x:c r="H110" s="82"/>
      <x:c r="I110" s="82"/>
      <x:c r="J110" s="110"/>
      <x:c r="K110" s="82"/>
      <x:c r="L110" s="82"/>
      <x:c r="M110" s="82"/>
      <x:c r="N110" s="82"/>
      <x:c r="O110" s="110"/>
      <x:c r="P110" s="82"/>
      <x:c r="Q110" s="82"/>
      <x:c r="R110" s="82"/>
      <x:c r="S110" s="82"/>
      <x:c r="T110" s="144" t="str">
        <x:f>IF(J110="","",J110-TODAY())</x:f>
      </x:c>
      <x:c r="U110" s="82" t="str">
        <x:f>IF(J110="","",IF(T110&lt;0,"EOL dépassée",IF(T110&lt;=180,"&lt; 6 mois",IF(T110&lt;=365,"&lt; 12 mois","OK"))))</x:f>
      </x:c>
    </x:row>
    <x:row r="111">
      <x:c r="A111" s="82"/>
      <x:c r="B111" s="82"/>
      <x:c r="C111" s="82"/>
      <x:c r="D111" s="82"/>
      <x:c r="E111" s="82"/>
      <x:c r="F111" s="82"/>
      <x:c r="G111" s="82"/>
      <x:c r="H111" s="82"/>
      <x:c r="I111" s="82"/>
      <x:c r="J111" s="110"/>
      <x:c r="K111" s="82"/>
      <x:c r="L111" s="82"/>
      <x:c r="M111" s="82"/>
      <x:c r="N111" s="82"/>
      <x:c r="O111" s="110"/>
      <x:c r="P111" s="82"/>
      <x:c r="Q111" s="82"/>
      <x:c r="R111" s="82"/>
      <x:c r="S111" s="82"/>
      <x:c r="T111" s="144" t="str">
        <x:f>IF(J111="","",J111-TODAY())</x:f>
      </x:c>
      <x:c r="U111" s="82" t="str">
        <x:f>IF(J111="","",IF(T111&lt;0,"EOL dépassée",IF(T111&lt;=180,"&lt; 6 mois",IF(T111&lt;=365,"&lt; 12 mois","OK"))))</x:f>
      </x:c>
    </x:row>
    <x:row r="112">
      <x:c r="A112" s="82"/>
      <x:c r="B112" s="82"/>
      <x:c r="C112" s="82"/>
      <x:c r="D112" s="82"/>
      <x:c r="E112" s="82"/>
      <x:c r="F112" s="82"/>
      <x:c r="G112" s="82"/>
      <x:c r="H112" s="82"/>
      <x:c r="I112" s="82"/>
      <x:c r="J112" s="110"/>
      <x:c r="K112" s="82"/>
      <x:c r="L112" s="82"/>
      <x:c r="M112" s="82"/>
      <x:c r="N112" s="82"/>
      <x:c r="O112" s="110"/>
      <x:c r="P112" s="82"/>
      <x:c r="Q112" s="82"/>
      <x:c r="R112" s="82"/>
      <x:c r="S112" s="82"/>
      <x:c r="T112" s="144" t="str">
        <x:f>IF(J112="","",J112-TODAY())</x:f>
      </x:c>
      <x:c r="U112" s="82" t="str">
        <x:f>IF(J112="","",IF(T112&lt;0,"EOL dépassée",IF(T112&lt;=180,"&lt; 6 mois",IF(T112&lt;=365,"&lt; 12 mois","OK"))))</x:f>
      </x:c>
    </x:row>
    <x:row r="113">
      <x:c r="A113" s="82"/>
      <x:c r="B113" s="82"/>
      <x:c r="C113" s="82"/>
      <x:c r="D113" s="82"/>
      <x:c r="E113" s="82"/>
      <x:c r="F113" s="82"/>
      <x:c r="G113" s="82"/>
      <x:c r="H113" s="82"/>
      <x:c r="I113" s="82"/>
      <x:c r="J113" s="110"/>
      <x:c r="K113" s="82"/>
      <x:c r="L113" s="82"/>
      <x:c r="M113" s="82"/>
      <x:c r="N113" s="82"/>
      <x:c r="O113" s="110"/>
      <x:c r="P113" s="82"/>
      <x:c r="Q113" s="82"/>
      <x:c r="R113" s="82"/>
      <x:c r="S113" s="82"/>
      <x:c r="T113" s="144" t="str">
        <x:f>IF(J113="","",J113-TODAY())</x:f>
      </x:c>
      <x:c r="U113" s="82" t="str">
        <x:f>IF(J113="","",IF(T113&lt;0,"EOL dépassée",IF(T113&lt;=180,"&lt; 6 mois",IF(T113&lt;=365,"&lt; 12 mois","OK"))))</x:f>
      </x:c>
    </x:row>
    <x:row r="114">
      <x:c r="A114" s="82"/>
      <x:c r="B114" s="82"/>
      <x:c r="C114" s="82"/>
      <x:c r="D114" s="82"/>
      <x:c r="E114" s="82"/>
      <x:c r="F114" s="82"/>
      <x:c r="G114" s="82"/>
      <x:c r="H114" s="82"/>
      <x:c r="I114" s="82"/>
      <x:c r="J114" s="110"/>
      <x:c r="K114" s="82"/>
      <x:c r="L114" s="82"/>
      <x:c r="M114" s="82"/>
      <x:c r="N114" s="82"/>
      <x:c r="O114" s="110"/>
      <x:c r="P114" s="82"/>
      <x:c r="Q114" s="82"/>
      <x:c r="R114" s="82"/>
      <x:c r="S114" s="82"/>
      <x:c r="T114" s="144" t="str">
        <x:f>IF(J114="","",J114-TODAY())</x:f>
      </x:c>
      <x:c r="U114" s="82" t="str">
        <x:f>IF(J114="","",IF(T114&lt;0,"EOL dépassée",IF(T114&lt;=180,"&lt; 6 mois",IF(T114&lt;=365,"&lt; 12 mois","OK"))))</x:f>
      </x:c>
    </x:row>
    <x:row r="115">
      <x:c r="A115" s="82"/>
      <x:c r="B115" s="82"/>
      <x:c r="C115" s="82"/>
      <x:c r="D115" s="82"/>
      <x:c r="E115" s="82"/>
      <x:c r="F115" s="82"/>
      <x:c r="G115" s="82"/>
      <x:c r="H115" s="82"/>
      <x:c r="I115" s="82"/>
      <x:c r="J115" s="110"/>
      <x:c r="K115" s="82"/>
      <x:c r="L115" s="82"/>
      <x:c r="M115" s="82"/>
      <x:c r="N115" s="82"/>
      <x:c r="O115" s="110"/>
      <x:c r="P115" s="82"/>
      <x:c r="Q115" s="82"/>
      <x:c r="R115" s="82"/>
      <x:c r="S115" s="82"/>
      <x:c r="T115" s="144" t="str">
        <x:f>IF(J115="","",J115-TODAY())</x:f>
      </x:c>
      <x:c r="U115" s="82" t="str">
        <x:f>IF(J115="","",IF(T115&lt;0,"EOL dépassée",IF(T115&lt;=180,"&lt; 6 mois",IF(T115&lt;=365,"&lt; 12 mois","OK"))))</x:f>
      </x:c>
    </x:row>
    <x:row r="116">
      <x:c r="A116" s="82"/>
      <x:c r="B116" s="82"/>
      <x:c r="C116" s="82"/>
      <x:c r="D116" s="82"/>
      <x:c r="E116" s="82"/>
      <x:c r="F116" s="82"/>
      <x:c r="G116" s="82"/>
      <x:c r="H116" s="82"/>
      <x:c r="I116" s="82"/>
      <x:c r="J116" s="110"/>
      <x:c r="K116" s="82"/>
      <x:c r="L116" s="82"/>
      <x:c r="M116" s="82"/>
      <x:c r="N116" s="82"/>
      <x:c r="O116" s="110"/>
      <x:c r="P116" s="82"/>
      <x:c r="Q116" s="82"/>
      <x:c r="R116" s="82"/>
      <x:c r="S116" s="82"/>
      <x:c r="T116" s="144" t="str">
        <x:f>IF(J116="","",J116-TODAY())</x:f>
      </x:c>
      <x:c r="U116" s="82" t="str">
        <x:f>IF(J116="","",IF(T116&lt;0,"EOL dépassée",IF(T116&lt;=180,"&lt; 6 mois",IF(T116&lt;=365,"&lt; 12 mois","OK"))))</x:f>
      </x:c>
    </x:row>
    <x:row r="117">
      <x:c r="A117" s="82"/>
      <x:c r="B117" s="82"/>
      <x:c r="C117" s="82"/>
      <x:c r="D117" s="82"/>
      <x:c r="E117" s="82"/>
      <x:c r="F117" s="82"/>
      <x:c r="G117" s="82"/>
      <x:c r="H117" s="82"/>
      <x:c r="I117" s="82"/>
      <x:c r="J117" s="110"/>
      <x:c r="K117" s="82"/>
      <x:c r="L117" s="82"/>
      <x:c r="M117" s="82"/>
      <x:c r="N117" s="82"/>
      <x:c r="O117" s="110"/>
      <x:c r="P117" s="82"/>
      <x:c r="Q117" s="82"/>
      <x:c r="R117" s="82"/>
      <x:c r="S117" s="82"/>
      <x:c r="T117" s="144" t="str">
        <x:f>IF(J117="","",J117-TODAY())</x:f>
      </x:c>
      <x:c r="U117" s="82" t="str">
        <x:f>IF(J117="","",IF(T117&lt;0,"EOL dépassée",IF(T117&lt;=180,"&lt; 6 mois",IF(T117&lt;=365,"&lt; 12 mois","OK"))))</x:f>
      </x:c>
    </x:row>
    <x:row r="118">
      <x:c r="A118" s="82"/>
      <x:c r="B118" s="82"/>
      <x:c r="C118" s="82"/>
      <x:c r="D118" s="82"/>
      <x:c r="E118" s="82"/>
      <x:c r="F118" s="82"/>
      <x:c r="G118" s="82"/>
      <x:c r="H118" s="82"/>
      <x:c r="I118" s="82"/>
      <x:c r="J118" s="110"/>
      <x:c r="K118" s="82"/>
      <x:c r="L118" s="82"/>
      <x:c r="M118" s="82"/>
      <x:c r="N118" s="82"/>
      <x:c r="O118" s="110"/>
      <x:c r="P118" s="82"/>
      <x:c r="Q118" s="82"/>
      <x:c r="R118" s="82"/>
      <x:c r="S118" s="82"/>
      <x:c r="T118" s="144" t="str">
        <x:f>IF(J118="","",J118-TODAY())</x:f>
      </x:c>
      <x:c r="U118" s="82" t="str">
        <x:f>IF(J118="","",IF(T118&lt;0,"EOL dépassée",IF(T118&lt;=180,"&lt; 6 mois",IF(T118&lt;=365,"&lt; 12 mois","OK"))))</x:f>
      </x:c>
    </x:row>
    <x:row r="119">
      <x:c r="A119" s="82"/>
      <x:c r="B119" s="82"/>
      <x:c r="C119" s="82"/>
      <x:c r="D119" s="82"/>
      <x:c r="E119" s="82"/>
      <x:c r="F119" s="82"/>
      <x:c r="G119" s="82"/>
      <x:c r="H119" s="82"/>
      <x:c r="I119" s="82"/>
      <x:c r="J119" s="110"/>
      <x:c r="K119" s="82"/>
      <x:c r="L119" s="82"/>
      <x:c r="M119" s="82"/>
      <x:c r="N119" s="82"/>
      <x:c r="O119" s="110"/>
      <x:c r="P119" s="82"/>
      <x:c r="Q119" s="82"/>
      <x:c r="R119" s="82"/>
      <x:c r="S119" s="82"/>
      <x:c r="T119" s="144" t="str">
        <x:f>IF(J119="","",J119-TODAY())</x:f>
      </x:c>
      <x:c r="U119" s="82" t="str">
        <x:f>IF(J119="","",IF(T119&lt;0,"EOL dépassée",IF(T119&lt;=180,"&lt; 6 mois",IF(T119&lt;=365,"&lt; 12 mois","OK"))))</x:f>
      </x:c>
    </x:row>
    <x:row r="120">
      <x:c r="A120" s="82"/>
      <x:c r="B120" s="82"/>
      <x:c r="C120" s="82"/>
      <x:c r="D120" s="82"/>
      <x:c r="E120" s="82"/>
      <x:c r="F120" s="82"/>
      <x:c r="G120" s="82"/>
      <x:c r="H120" s="82"/>
      <x:c r="I120" s="82"/>
      <x:c r="J120" s="110"/>
      <x:c r="K120" s="82"/>
      <x:c r="L120" s="82"/>
      <x:c r="M120" s="82"/>
      <x:c r="N120" s="82"/>
      <x:c r="O120" s="110"/>
      <x:c r="P120" s="82"/>
      <x:c r="Q120" s="82"/>
      <x:c r="R120" s="82"/>
      <x:c r="S120" s="82"/>
      <x:c r="T120" s="144" t="str">
        <x:f>IF(J120="","",J120-TODAY())</x:f>
      </x:c>
      <x:c r="U120" s="82" t="str">
        <x:f>IF(J120="","",IF(T120&lt;0,"EOL dépassée",IF(T120&lt;=180,"&lt; 6 mois",IF(T120&lt;=365,"&lt; 12 mois","OK"))))</x:f>
      </x:c>
    </x:row>
    <x:row r="121">
      <x:c r="A121" s="82"/>
      <x:c r="B121" s="82"/>
      <x:c r="C121" s="82"/>
      <x:c r="D121" s="82"/>
      <x:c r="E121" s="82"/>
      <x:c r="F121" s="82"/>
      <x:c r="G121" s="82"/>
      <x:c r="H121" s="82"/>
      <x:c r="I121" s="82"/>
      <x:c r="J121" s="110"/>
      <x:c r="K121" s="82"/>
      <x:c r="L121" s="82"/>
      <x:c r="M121" s="82"/>
      <x:c r="N121" s="82"/>
      <x:c r="O121" s="110"/>
      <x:c r="P121" s="82"/>
      <x:c r="Q121" s="82"/>
      <x:c r="R121" s="82"/>
      <x:c r="S121" s="82"/>
      <x:c r="T121" s="144" t="str">
        <x:f>IF(J121="","",J121-TODAY())</x:f>
      </x:c>
      <x:c r="U121" s="82" t="str">
        <x:f>IF(J121="","",IF(T121&lt;0,"EOL dépassée",IF(T121&lt;=180,"&lt; 6 mois",IF(T121&lt;=365,"&lt; 12 mois","OK"))))</x:f>
      </x:c>
    </x:row>
    <x:row r="122">
      <x:c r="A122" s="82"/>
      <x:c r="B122" s="82"/>
      <x:c r="C122" s="82"/>
      <x:c r="D122" s="82"/>
      <x:c r="E122" s="82"/>
      <x:c r="F122" s="82"/>
      <x:c r="G122" s="82"/>
      <x:c r="H122" s="82"/>
      <x:c r="I122" s="82"/>
      <x:c r="J122" s="110"/>
      <x:c r="K122" s="82"/>
      <x:c r="L122" s="82"/>
      <x:c r="M122" s="82"/>
      <x:c r="N122" s="82"/>
      <x:c r="O122" s="110"/>
      <x:c r="P122" s="82"/>
      <x:c r="Q122" s="82"/>
      <x:c r="R122" s="82"/>
      <x:c r="S122" s="82"/>
      <x:c r="T122" s="144" t="str">
        <x:f>IF(J122="","",J122-TODAY())</x:f>
      </x:c>
      <x:c r="U122" s="82" t="str">
        <x:f>IF(J122="","",IF(T122&lt;0,"EOL dépassée",IF(T122&lt;=180,"&lt; 6 mois",IF(T122&lt;=365,"&lt; 12 mois","OK"))))</x:f>
      </x:c>
    </x:row>
    <x:row r="123">
      <x:c r="A123" s="82"/>
      <x:c r="B123" s="82"/>
      <x:c r="C123" s="82"/>
      <x:c r="D123" s="82"/>
      <x:c r="E123" s="82"/>
      <x:c r="F123" s="82"/>
      <x:c r="G123" s="82"/>
      <x:c r="H123" s="82"/>
      <x:c r="I123" s="82"/>
      <x:c r="J123" s="110"/>
      <x:c r="K123" s="82"/>
      <x:c r="L123" s="82"/>
      <x:c r="M123" s="82"/>
      <x:c r="N123" s="82"/>
      <x:c r="O123" s="110"/>
      <x:c r="P123" s="82"/>
      <x:c r="Q123" s="82"/>
      <x:c r="R123" s="82"/>
      <x:c r="S123" s="82"/>
      <x:c r="T123" s="144" t="str">
        <x:f>IF(J123="","",J123-TODAY())</x:f>
      </x:c>
      <x:c r="U123" s="82" t="str">
        <x:f>IF(J123="","",IF(T123&lt;0,"EOL dépassée",IF(T123&lt;=180,"&lt; 6 mois",IF(T123&lt;=365,"&lt; 12 mois","OK"))))</x:f>
      </x:c>
    </x:row>
    <x:row r="124">
      <x:c r="A124" s="82"/>
      <x:c r="B124" s="82"/>
      <x:c r="C124" s="82"/>
      <x:c r="D124" s="82"/>
      <x:c r="E124" s="82"/>
      <x:c r="F124" s="82"/>
      <x:c r="G124" s="82"/>
      <x:c r="H124" s="82"/>
      <x:c r="I124" s="82"/>
      <x:c r="J124" s="110"/>
      <x:c r="K124" s="82"/>
      <x:c r="L124" s="82"/>
      <x:c r="M124" s="82"/>
      <x:c r="N124" s="82"/>
      <x:c r="O124" s="110"/>
      <x:c r="P124" s="82"/>
      <x:c r="Q124" s="82"/>
      <x:c r="R124" s="82"/>
      <x:c r="S124" s="82"/>
      <x:c r="T124" s="144" t="str">
        <x:f>IF(J124="","",J124-TODAY())</x:f>
      </x:c>
      <x:c r="U124" s="82" t="str">
        <x:f>IF(J124="","",IF(T124&lt;0,"EOL dépassée",IF(T124&lt;=180,"&lt; 6 mois",IF(T124&lt;=365,"&lt; 12 mois","OK"))))</x:f>
      </x:c>
    </x:row>
    <x:row r="125">
      <x:c r="A125" s="82"/>
      <x:c r="B125" s="82"/>
      <x:c r="C125" s="82"/>
      <x:c r="D125" s="82"/>
      <x:c r="E125" s="82"/>
      <x:c r="F125" s="82"/>
      <x:c r="G125" s="82"/>
      <x:c r="H125" s="82"/>
      <x:c r="I125" s="82"/>
      <x:c r="J125" s="110"/>
      <x:c r="K125" s="82"/>
      <x:c r="L125" s="82"/>
      <x:c r="M125" s="82"/>
      <x:c r="N125" s="82"/>
      <x:c r="O125" s="110"/>
      <x:c r="P125" s="82"/>
      <x:c r="Q125" s="82"/>
      <x:c r="R125" s="82"/>
      <x:c r="S125" s="82"/>
      <x:c r="T125" s="144" t="str">
        <x:f>IF(J125="","",J125-TODAY())</x:f>
      </x:c>
      <x:c r="U125" s="82" t="str">
        <x:f>IF(J125="","",IF(T125&lt;0,"EOL dépassée",IF(T125&lt;=180,"&lt; 6 mois",IF(T125&lt;=365,"&lt; 12 mois","OK"))))</x:f>
      </x:c>
    </x:row>
    <x:row r="126">
      <x:c r="A126" s="82"/>
      <x:c r="B126" s="82"/>
      <x:c r="C126" s="82"/>
      <x:c r="D126" s="82"/>
      <x:c r="E126" s="82"/>
      <x:c r="F126" s="82"/>
      <x:c r="G126" s="82"/>
      <x:c r="H126" s="82"/>
      <x:c r="I126" s="82"/>
      <x:c r="J126" s="110"/>
      <x:c r="K126" s="82"/>
      <x:c r="L126" s="82"/>
      <x:c r="M126" s="82"/>
      <x:c r="N126" s="82"/>
      <x:c r="O126" s="110"/>
      <x:c r="P126" s="82"/>
      <x:c r="Q126" s="82"/>
      <x:c r="R126" s="82"/>
      <x:c r="S126" s="82"/>
      <x:c r="T126" s="144" t="str">
        <x:f>IF(J126="","",J126-TODAY())</x:f>
      </x:c>
      <x:c r="U126" s="82" t="str">
        <x:f>IF(J126="","",IF(T126&lt;0,"EOL dépassée",IF(T126&lt;=180,"&lt; 6 mois",IF(T126&lt;=365,"&lt; 12 mois","OK"))))</x:f>
      </x:c>
    </x:row>
    <x:row r="127">
      <x:c r="A127" s="82"/>
      <x:c r="B127" s="82"/>
      <x:c r="C127" s="82"/>
      <x:c r="D127" s="82"/>
      <x:c r="E127" s="82"/>
      <x:c r="F127" s="82"/>
      <x:c r="G127" s="82"/>
      <x:c r="H127" s="82"/>
      <x:c r="I127" s="82"/>
      <x:c r="J127" s="110"/>
      <x:c r="K127" s="82"/>
      <x:c r="L127" s="82"/>
      <x:c r="M127" s="82"/>
      <x:c r="N127" s="82"/>
      <x:c r="O127" s="110"/>
      <x:c r="P127" s="82"/>
      <x:c r="Q127" s="82"/>
      <x:c r="R127" s="82"/>
      <x:c r="S127" s="82"/>
      <x:c r="T127" s="144" t="str">
        <x:f>IF(J127="","",J127-TODAY())</x:f>
      </x:c>
      <x:c r="U127" s="82" t="str">
        <x:f>IF(J127="","",IF(T127&lt;0,"EOL dépassée",IF(T127&lt;=180,"&lt; 6 mois",IF(T127&lt;=365,"&lt; 12 mois","OK"))))</x:f>
      </x:c>
    </x:row>
    <x:row r="128">
      <x:c r="A128" s="82"/>
      <x:c r="B128" s="82"/>
      <x:c r="C128" s="82"/>
      <x:c r="D128" s="82"/>
      <x:c r="E128" s="82"/>
      <x:c r="F128" s="82"/>
      <x:c r="G128" s="82"/>
      <x:c r="H128" s="82"/>
      <x:c r="I128" s="82"/>
      <x:c r="J128" s="110"/>
      <x:c r="K128" s="82"/>
      <x:c r="L128" s="82"/>
      <x:c r="M128" s="82"/>
      <x:c r="N128" s="82"/>
      <x:c r="O128" s="110"/>
      <x:c r="P128" s="82"/>
      <x:c r="Q128" s="82"/>
      <x:c r="R128" s="82"/>
      <x:c r="S128" s="82"/>
      <x:c r="T128" s="144" t="str">
        <x:f>IF(J128="","",J128-TODAY())</x:f>
      </x:c>
      <x:c r="U128" s="82" t="str">
        <x:f>IF(J128="","",IF(T128&lt;0,"EOL dépassée",IF(T128&lt;=180,"&lt; 6 mois",IF(T128&lt;=365,"&lt; 12 mois","OK"))))</x:f>
      </x:c>
    </x:row>
    <x:row r="129">
      <x:c r="A129" s="82"/>
      <x:c r="B129" s="82"/>
      <x:c r="C129" s="82"/>
      <x:c r="D129" s="82"/>
      <x:c r="E129" s="82"/>
      <x:c r="F129" s="82"/>
      <x:c r="G129" s="82"/>
      <x:c r="H129" s="82"/>
      <x:c r="I129" s="82"/>
      <x:c r="J129" s="110"/>
      <x:c r="K129" s="82"/>
      <x:c r="L129" s="82"/>
      <x:c r="M129" s="82"/>
      <x:c r="N129" s="82"/>
      <x:c r="O129" s="110"/>
      <x:c r="P129" s="82"/>
      <x:c r="Q129" s="82"/>
      <x:c r="R129" s="82"/>
      <x:c r="S129" s="82"/>
      <x:c r="T129" s="144" t="str">
        <x:f>IF(J129="","",J129-TODAY())</x:f>
      </x:c>
      <x:c r="U129" s="82" t="str">
        <x:f>IF(J129="","",IF(T129&lt;0,"EOL dépassée",IF(T129&lt;=180,"&lt; 6 mois",IF(T129&lt;=365,"&lt; 12 mois","OK"))))</x:f>
      </x:c>
    </x:row>
    <x:row r="130">
      <x:c r="A130" s="82"/>
      <x:c r="B130" s="82"/>
      <x:c r="C130" s="82"/>
      <x:c r="D130" s="82"/>
      <x:c r="E130" s="82"/>
      <x:c r="F130" s="82"/>
      <x:c r="G130" s="82"/>
      <x:c r="H130" s="82"/>
      <x:c r="I130" s="82"/>
      <x:c r="J130" s="110"/>
      <x:c r="K130" s="82"/>
      <x:c r="L130" s="82"/>
      <x:c r="M130" s="82"/>
      <x:c r="N130" s="82"/>
      <x:c r="O130" s="110"/>
      <x:c r="P130" s="82"/>
      <x:c r="Q130" s="82"/>
      <x:c r="R130" s="82"/>
      <x:c r="S130" s="82"/>
      <x:c r="T130" s="144" t="str">
        <x:f>IF(J130="","",J130-TODAY())</x:f>
      </x:c>
      <x:c r="U130" s="82" t="str">
        <x:f>IF(J130="","",IF(T130&lt;0,"EOL dépassée",IF(T130&lt;=180,"&lt; 6 mois",IF(T130&lt;=365,"&lt; 12 mois","OK"))))</x:f>
      </x:c>
    </x:row>
    <x:row r="131">
      <x:c r="A131" s="82"/>
      <x:c r="B131" s="82"/>
      <x:c r="C131" s="82"/>
      <x:c r="D131" s="82"/>
      <x:c r="E131" s="82"/>
      <x:c r="F131" s="82"/>
      <x:c r="G131" s="82"/>
      <x:c r="H131" s="82"/>
      <x:c r="I131" s="82"/>
      <x:c r="J131" s="110"/>
      <x:c r="K131" s="82"/>
      <x:c r="L131" s="82"/>
      <x:c r="M131" s="82"/>
      <x:c r="N131" s="82"/>
      <x:c r="O131" s="110"/>
      <x:c r="P131" s="82"/>
      <x:c r="Q131" s="82"/>
      <x:c r="R131" s="82"/>
      <x:c r="S131" s="82"/>
      <x:c r="T131" s="144" t="str">
        <x:f>IF(J131="","",J131-TODAY())</x:f>
      </x:c>
      <x:c r="U131" s="82" t="str">
        <x:f>IF(J131="","",IF(T131&lt;0,"EOL dépassée",IF(T131&lt;=180,"&lt; 6 mois",IF(T131&lt;=365,"&lt; 12 mois","OK"))))</x:f>
      </x:c>
    </x:row>
    <x:row r="132">
      <x:c r="A132" s="82"/>
      <x:c r="B132" s="82"/>
      <x:c r="C132" s="82"/>
      <x:c r="D132" s="82"/>
      <x:c r="E132" s="82"/>
      <x:c r="F132" s="82"/>
      <x:c r="G132" s="82"/>
      <x:c r="H132" s="82"/>
      <x:c r="I132" s="82"/>
      <x:c r="J132" s="110"/>
      <x:c r="K132" s="82"/>
      <x:c r="L132" s="82"/>
      <x:c r="M132" s="82"/>
      <x:c r="N132" s="82"/>
      <x:c r="O132" s="110"/>
      <x:c r="P132" s="82"/>
      <x:c r="Q132" s="82"/>
      <x:c r="R132" s="82"/>
      <x:c r="S132" s="82"/>
      <x:c r="T132" s="144" t="str">
        <x:f>IF(J132="","",J132-TODAY())</x:f>
      </x:c>
      <x:c r="U132" s="82" t="str">
        <x:f>IF(J132="","",IF(T132&lt;0,"EOL dépassée",IF(T132&lt;=180,"&lt; 6 mois",IF(T132&lt;=365,"&lt; 12 mois","OK"))))</x:f>
      </x:c>
    </x:row>
    <x:row r="133">
      <x:c r="A133" s="82"/>
      <x:c r="B133" s="82"/>
      <x:c r="C133" s="82"/>
      <x:c r="D133" s="82"/>
      <x:c r="E133" s="82"/>
      <x:c r="F133" s="82"/>
      <x:c r="G133" s="82"/>
      <x:c r="H133" s="82"/>
      <x:c r="I133" s="82"/>
      <x:c r="J133" s="110"/>
      <x:c r="K133" s="82"/>
      <x:c r="L133" s="82"/>
      <x:c r="M133" s="82"/>
      <x:c r="N133" s="82"/>
      <x:c r="O133" s="110"/>
      <x:c r="P133" s="82"/>
      <x:c r="Q133" s="82"/>
      <x:c r="R133" s="82"/>
      <x:c r="S133" s="82"/>
      <x:c r="T133" s="144" t="str">
        <x:f>IF(J133="","",J133-TODAY())</x:f>
      </x:c>
      <x:c r="U133" s="82" t="str">
        <x:f>IF(J133="","",IF(T133&lt;0,"EOL dépassée",IF(T133&lt;=180,"&lt; 6 mois",IF(T133&lt;=365,"&lt; 12 mois","OK"))))</x:f>
      </x:c>
    </x:row>
    <x:row r="134">
      <x:c r="A134" s="82"/>
      <x:c r="B134" s="82"/>
      <x:c r="C134" s="82"/>
      <x:c r="D134" s="82"/>
      <x:c r="E134" s="82"/>
      <x:c r="F134" s="82"/>
      <x:c r="G134" s="82"/>
      <x:c r="H134" s="82"/>
      <x:c r="I134" s="82"/>
      <x:c r="J134" s="110"/>
      <x:c r="K134" s="82"/>
      <x:c r="L134" s="82"/>
      <x:c r="M134" s="82"/>
      <x:c r="N134" s="82"/>
      <x:c r="O134" s="110"/>
      <x:c r="P134" s="82"/>
      <x:c r="Q134" s="82"/>
      <x:c r="R134" s="82"/>
      <x:c r="S134" s="82"/>
      <x:c r="T134" s="144" t="str">
        <x:f>IF(J134="","",J134-TODAY())</x:f>
      </x:c>
      <x:c r="U134" s="82" t="str">
        <x:f>IF(J134="","",IF(T134&lt;0,"EOL dépassée",IF(T134&lt;=180,"&lt; 6 mois",IF(T134&lt;=365,"&lt; 12 mois","OK"))))</x:f>
      </x:c>
    </x:row>
    <x:row r="135">
      <x:c r="A135" s="82"/>
      <x:c r="B135" s="82"/>
      <x:c r="C135" s="82"/>
      <x:c r="D135" s="82"/>
      <x:c r="E135" s="82"/>
      <x:c r="F135" s="82"/>
      <x:c r="G135" s="82"/>
      <x:c r="H135" s="82"/>
      <x:c r="I135" s="82"/>
      <x:c r="J135" s="110"/>
      <x:c r="K135" s="82"/>
      <x:c r="L135" s="82"/>
      <x:c r="M135" s="82"/>
      <x:c r="N135" s="82"/>
      <x:c r="O135" s="110"/>
      <x:c r="P135" s="82"/>
      <x:c r="Q135" s="82"/>
      <x:c r="R135" s="82"/>
      <x:c r="S135" s="82"/>
      <x:c r="T135" s="144" t="str">
        <x:f>IF(J135="","",J135-TODAY())</x:f>
      </x:c>
      <x:c r="U135" s="82" t="str">
        <x:f>IF(J135="","",IF(T135&lt;0,"EOL dépassée",IF(T135&lt;=180,"&lt; 6 mois",IF(T135&lt;=365,"&lt; 12 mois","OK"))))</x:f>
      </x:c>
    </x:row>
    <x:row r="136">
      <x:c r="A136" s="82"/>
      <x:c r="B136" s="82"/>
      <x:c r="C136" s="82"/>
      <x:c r="D136" s="82"/>
      <x:c r="E136" s="82"/>
      <x:c r="F136" s="82"/>
      <x:c r="G136" s="82"/>
      <x:c r="H136" s="82"/>
      <x:c r="I136" s="82"/>
      <x:c r="J136" s="110"/>
      <x:c r="K136" s="82"/>
      <x:c r="L136" s="82"/>
      <x:c r="M136" s="82"/>
      <x:c r="N136" s="82"/>
      <x:c r="O136" s="110"/>
      <x:c r="P136" s="82"/>
      <x:c r="Q136" s="82"/>
      <x:c r="R136" s="82"/>
      <x:c r="S136" s="82"/>
      <x:c r="T136" s="144" t="str">
        <x:f>IF(J136="","",J136-TODAY())</x:f>
      </x:c>
      <x:c r="U136" s="82" t="str">
        <x:f>IF(J136="","",IF(T136&lt;0,"EOL dépassée",IF(T136&lt;=180,"&lt; 6 mois",IF(T136&lt;=365,"&lt; 12 mois","OK"))))</x:f>
      </x:c>
    </x:row>
    <x:row r="137">
      <x:c r="A137" s="82"/>
      <x:c r="B137" s="82"/>
      <x:c r="C137" s="82"/>
      <x:c r="D137" s="82"/>
      <x:c r="E137" s="82"/>
      <x:c r="F137" s="82"/>
      <x:c r="G137" s="82"/>
      <x:c r="H137" s="82"/>
      <x:c r="I137" s="82"/>
      <x:c r="J137" s="110"/>
      <x:c r="K137" s="82"/>
      <x:c r="L137" s="82"/>
      <x:c r="M137" s="82"/>
      <x:c r="N137" s="82"/>
      <x:c r="O137" s="110"/>
      <x:c r="P137" s="82"/>
      <x:c r="Q137" s="82"/>
      <x:c r="R137" s="82"/>
      <x:c r="S137" s="82"/>
      <x:c r="T137" s="144" t="str">
        <x:f>IF(J137="","",J137-TODAY())</x:f>
      </x:c>
      <x:c r="U137" s="82" t="str">
        <x:f>IF(J137="","",IF(T137&lt;0,"EOL dépassée",IF(T137&lt;=180,"&lt; 6 mois",IF(T137&lt;=365,"&lt; 12 mois","OK"))))</x:f>
      </x:c>
    </x:row>
    <x:row r="138">
      <x:c r="A138" s="82"/>
      <x:c r="B138" s="82"/>
      <x:c r="C138" s="82"/>
      <x:c r="D138" s="82"/>
      <x:c r="E138" s="82"/>
      <x:c r="F138" s="82"/>
      <x:c r="G138" s="82"/>
      <x:c r="H138" s="82"/>
      <x:c r="I138" s="82"/>
      <x:c r="J138" s="110"/>
      <x:c r="K138" s="82"/>
      <x:c r="L138" s="82"/>
      <x:c r="M138" s="82"/>
      <x:c r="N138" s="82"/>
      <x:c r="O138" s="110"/>
      <x:c r="P138" s="82"/>
      <x:c r="Q138" s="82"/>
      <x:c r="R138" s="82"/>
      <x:c r="S138" s="82"/>
      <x:c r="T138" s="144" t="str">
        <x:f>IF(J138="","",J138-TODAY())</x:f>
      </x:c>
      <x:c r="U138" s="82" t="str">
        <x:f>IF(J138="","",IF(T138&lt;0,"EOL dépassée",IF(T138&lt;=180,"&lt; 6 mois",IF(T138&lt;=365,"&lt; 12 mois","OK"))))</x:f>
      </x:c>
    </x:row>
    <x:row r="139">
      <x:c r="A139" s="82"/>
      <x:c r="B139" s="82"/>
      <x:c r="C139" s="82"/>
      <x:c r="D139" s="82"/>
      <x:c r="E139" s="82"/>
      <x:c r="F139" s="82"/>
      <x:c r="G139" s="82"/>
      <x:c r="H139" s="82"/>
      <x:c r="I139" s="82"/>
      <x:c r="J139" s="110"/>
      <x:c r="K139" s="82"/>
      <x:c r="L139" s="82"/>
      <x:c r="M139" s="82"/>
      <x:c r="N139" s="82"/>
      <x:c r="O139" s="110"/>
      <x:c r="P139" s="82"/>
      <x:c r="Q139" s="82"/>
      <x:c r="R139" s="82"/>
      <x:c r="S139" s="82"/>
      <x:c r="T139" s="144" t="str">
        <x:f>IF(J139="","",J139-TODAY())</x:f>
      </x:c>
      <x:c r="U139" s="82" t="str">
        <x:f>IF(J139="","",IF(T139&lt;0,"EOL dépassée",IF(T139&lt;=180,"&lt; 6 mois",IF(T139&lt;=365,"&lt; 12 mois","OK"))))</x:f>
      </x:c>
    </x:row>
    <x:row r="140">
      <x:c r="A140" s="82"/>
      <x:c r="B140" s="82"/>
      <x:c r="C140" s="82"/>
      <x:c r="D140" s="82"/>
      <x:c r="E140" s="82"/>
      <x:c r="F140" s="82"/>
      <x:c r="G140" s="82"/>
      <x:c r="H140" s="82"/>
      <x:c r="I140" s="82"/>
      <x:c r="J140" s="110"/>
      <x:c r="K140" s="82"/>
      <x:c r="L140" s="82"/>
      <x:c r="M140" s="82"/>
      <x:c r="N140" s="82"/>
      <x:c r="O140" s="110"/>
      <x:c r="P140" s="82"/>
      <x:c r="Q140" s="82"/>
      <x:c r="R140" s="82"/>
      <x:c r="S140" s="82"/>
      <x:c r="T140" s="144" t="str">
        <x:f>IF(J140="","",J140-TODAY())</x:f>
      </x:c>
      <x:c r="U140" s="82" t="str">
        <x:f>IF(J140="","",IF(T140&lt;0,"EOL dépassée",IF(T140&lt;=180,"&lt; 6 mois",IF(T140&lt;=365,"&lt; 12 mois","OK"))))</x:f>
      </x:c>
    </x:row>
    <x:row r="141">
      <x:c r="A141" s="82"/>
      <x:c r="B141" s="82"/>
      <x:c r="C141" s="82"/>
      <x:c r="D141" s="82"/>
      <x:c r="E141" s="82"/>
      <x:c r="F141" s="82"/>
      <x:c r="G141" s="82"/>
      <x:c r="H141" s="82"/>
      <x:c r="I141" s="82"/>
      <x:c r="J141" s="110"/>
      <x:c r="K141" s="82"/>
      <x:c r="L141" s="82"/>
      <x:c r="M141" s="82"/>
      <x:c r="N141" s="82"/>
      <x:c r="O141" s="110"/>
      <x:c r="P141" s="82"/>
      <x:c r="Q141" s="82"/>
      <x:c r="R141" s="82"/>
      <x:c r="S141" s="82"/>
      <x:c r="T141" s="144" t="str">
        <x:f>IF(J141="","",J141-TODAY())</x:f>
      </x:c>
      <x:c r="U141" s="82" t="str">
        <x:f>IF(J141="","",IF(T141&lt;0,"EOL dépassée",IF(T141&lt;=180,"&lt; 6 mois",IF(T141&lt;=365,"&lt; 12 mois","OK"))))</x:f>
      </x:c>
    </x:row>
    <x:row r="142">
      <x:c r="A142" s="82"/>
      <x:c r="B142" s="82"/>
      <x:c r="C142" s="82"/>
      <x:c r="D142" s="82"/>
      <x:c r="E142" s="82"/>
      <x:c r="F142" s="82"/>
      <x:c r="G142" s="82"/>
      <x:c r="H142" s="82"/>
      <x:c r="I142" s="82"/>
      <x:c r="J142" s="110"/>
      <x:c r="K142" s="82"/>
      <x:c r="L142" s="82"/>
      <x:c r="M142" s="82"/>
      <x:c r="N142" s="82"/>
      <x:c r="O142" s="110"/>
      <x:c r="P142" s="82"/>
      <x:c r="Q142" s="82"/>
      <x:c r="R142" s="82"/>
      <x:c r="S142" s="82"/>
      <x:c r="T142" s="144" t="str">
        <x:f>IF(J142="","",J142-TODAY())</x:f>
      </x:c>
      <x:c r="U142" s="82" t="str">
        <x:f>IF(J142="","",IF(T142&lt;0,"EOL dépassée",IF(T142&lt;=180,"&lt; 6 mois",IF(T142&lt;=365,"&lt; 12 mois","OK"))))</x:f>
      </x:c>
    </x:row>
    <x:row r="143">
      <x:c r="A143" s="82"/>
      <x:c r="B143" s="82"/>
      <x:c r="C143" s="82"/>
      <x:c r="D143" s="82"/>
      <x:c r="E143" s="82"/>
      <x:c r="F143" s="82"/>
      <x:c r="G143" s="82"/>
      <x:c r="H143" s="82"/>
      <x:c r="I143" s="82"/>
      <x:c r="J143" s="110"/>
      <x:c r="K143" s="82"/>
      <x:c r="L143" s="82"/>
      <x:c r="M143" s="82"/>
      <x:c r="N143" s="82"/>
      <x:c r="O143" s="110"/>
      <x:c r="P143" s="82"/>
      <x:c r="Q143" s="82"/>
      <x:c r="R143" s="82"/>
      <x:c r="S143" s="82"/>
      <x:c r="T143" s="144" t="str">
        <x:f>IF(J143="","",J143-TODAY())</x:f>
      </x:c>
      <x:c r="U143" s="82" t="str">
        <x:f>IF(J143="","",IF(T143&lt;0,"EOL dépassée",IF(T143&lt;=180,"&lt; 6 mois",IF(T143&lt;=365,"&lt; 12 mois","OK"))))</x:f>
      </x:c>
    </x:row>
    <x:row r="144">
      <x:c r="A144" s="82"/>
      <x:c r="B144" s="82"/>
      <x:c r="C144" s="82"/>
      <x:c r="D144" s="82"/>
      <x:c r="E144" s="82"/>
      <x:c r="F144" s="82"/>
      <x:c r="G144" s="82"/>
      <x:c r="H144" s="82"/>
      <x:c r="I144" s="82"/>
      <x:c r="J144" s="110"/>
      <x:c r="K144" s="82"/>
      <x:c r="L144" s="82"/>
      <x:c r="M144" s="82"/>
      <x:c r="N144" s="82"/>
      <x:c r="O144" s="110"/>
      <x:c r="P144" s="82"/>
      <x:c r="Q144" s="82"/>
      <x:c r="R144" s="82"/>
      <x:c r="S144" s="82"/>
      <x:c r="T144" s="144" t="str">
        <x:f>IF(J144="","",J144-TODAY())</x:f>
      </x:c>
      <x:c r="U144" s="82" t="str">
        <x:f>IF(J144="","",IF(T144&lt;0,"EOL dépassée",IF(T144&lt;=180,"&lt; 6 mois",IF(T144&lt;=365,"&lt; 12 mois","OK"))))</x:f>
      </x:c>
    </x:row>
    <x:row r="145">
      <x:c r="A145" s="82"/>
      <x:c r="B145" s="82"/>
      <x:c r="C145" s="82"/>
      <x:c r="D145" s="82"/>
      <x:c r="E145" s="82"/>
      <x:c r="F145" s="82"/>
      <x:c r="G145" s="82"/>
      <x:c r="H145" s="82"/>
      <x:c r="I145" s="82"/>
      <x:c r="J145" s="110"/>
      <x:c r="K145" s="82"/>
      <x:c r="L145" s="82"/>
      <x:c r="M145" s="82"/>
      <x:c r="N145" s="82"/>
      <x:c r="O145" s="110"/>
      <x:c r="P145" s="82"/>
      <x:c r="Q145" s="82"/>
      <x:c r="R145" s="82"/>
      <x:c r="S145" s="82"/>
      <x:c r="T145" s="144" t="str">
        <x:f>IF(J145="","",J145-TODAY())</x:f>
      </x:c>
      <x:c r="U145" s="82" t="str">
        <x:f>IF(J145="","",IF(T145&lt;0,"EOL dépassée",IF(T145&lt;=180,"&lt; 6 mois",IF(T145&lt;=365,"&lt; 12 mois","OK"))))</x:f>
      </x:c>
    </x:row>
    <x:row r="146">
      <x:c r="A146" s="82"/>
      <x:c r="B146" s="82"/>
      <x:c r="C146" s="82"/>
      <x:c r="D146" s="82"/>
      <x:c r="E146" s="82"/>
      <x:c r="F146" s="82"/>
      <x:c r="G146" s="82"/>
      <x:c r="H146" s="82"/>
      <x:c r="I146" s="82"/>
      <x:c r="J146" s="110"/>
      <x:c r="K146" s="82"/>
      <x:c r="L146" s="82"/>
      <x:c r="M146" s="82"/>
      <x:c r="N146" s="82"/>
      <x:c r="O146" s="110"/>
      <x:c r="P146" s="82"/>
      <x:c r="Q146" s="82"/>
      <x:c r="R146" s="82"/>
      <x:c r="S146" s="82"/>
      <x:c r="T146" s="144" t="str">
        <x:f>IF(J146="","",J146-TODAY())</x:f>
      </x:c>
      <x:c r="U146" s="82" t="str">
        <x:f>IF(J146="","",IF(T146&lt;0,"EOL dépassée",IF(T146&lt;=180,"&lt; 6 mois",IF(T146&lt;=365,"&lt; 12 mois","OK"))))</x:f>
      </x:c>
    </x:row>
    <x:row r="147">
      <x:c r="A147" s="82"/>
      <x:c r="B147" s="82"/>
      <x:c r="C147" s="82"/>
      <x:c r="D147" s="82"/>
      <x:c r="E147" s="82"/>
      <x:c r="F147" s="82"/>
      <x:c r="G147" s="82"/>
      <x:c r="H147" s="82"/>
      <x:c r="I147" s="82"/>
      <x:c r="J147" s="110"/>
      <x:c r="K147" s="82"/>
      <x:c r="L147" s="82"/>
      <x:c r="M147" s="82"/>
      <x:c r="N147" s="82"/>
      <x:c r="O147" s="110"/>
      <x:c r="P147" s="82"/>
      <x:c r="Q147" s="82"/>
      <x:c r="R147" s="82"/>
      <x:c r="S147" s="82"/>
      <x:c r="T147" s="144" t="str">
        <x:f>IF(J147="","",J147-TODAY())</x:f>
      </x:c>
      <x:c r="U147" s="82" t="str">
        <x:f>IF(J147="","",IF(T147&lt;0,"EOL dépassée",IF(T147&lt;=180,"&lt; 6 mois",IF(T147&lt;=365,"&lt; 12 mois","OK"))))</x:f>
      </x:c>
    </x:row>
    <x:row r="148">
      <x:c r="A148" s="82"/>
      <x:c r="B148" s="82"/>
      <x:c r="C148" s="82"/>
      <x:c r="D148" s="82"/>
      <x:c r="E148" s="82"/>
      <x:c r="F148" s="82"/>
      <x:c r="G148" s="82"/>
      <x:c r="H148" s="82"/>
      <x:c r="I148" s="82"/>
      <x:c r="J148" s="110"/>
      <x:c r="K148" s="82"/>
      <x:c r="L148" s="82"/>
      <x:c r="M148" s="82"/>
      <x:c r="N148" s="82"/>
      <x:c r="O148" s="110"/>
      <x:c r="P148" s="82"/>
      <x:c r="Q148" s="82"/>
      <x:c r="R148" s="82"/>
      <x:c r="S148" s="82"/>
      <x:c r="T148" s="144" t="str">
        <x:f>IF(J148="","",J148-TODAY())</x:f>
      </x:c>
      <x:c r="U148" s="82" t="str">
        <x:f>IF(J148="","",IF(T148&lt;0,"EOL dépassée",IF(T148&lt;=180,"&lt; 6 mois",IF(T148&lt;=365,"&lt; 12 mois","OK"))))</x:f>
      </x:c>
    </x:row>
    <x:row r="149">
      <x:c r="A149" s="82"/>
      <x:c r="B149" s="82"/>
      <x:c r="C149" s="82"/>
      <x:c r="D149" s="82"/>
      <x:c r="E149" s="82"/>
      <x:c r="F149" s="82"/>
      <x:c r="G149" s="82"/>
      <x:c r="H149" s="82"/>
      <x:c r="I149" s="82"/>
      <x:c r="J149" s="110"/>
      <x:c r="K149" s="82"/>
      <x:c r="L149" s="82"/>
      <x:c r="M149" s="82"/>
      <x:c r="N149" s="82"/>
      <x:c r="O149" s="110"/>
      <x:c r="P149" s="82"/>
      <x:c r="Q149" s="82"/>
      <x:c r="R149" s="82"/>
      <x:c r="S149" s="82"/>
      <x:c r="T149" s="144" t="str">
        <x:f>IF(J149="","",J149-TODAY())</x:f>
      </x:c>
      <x:c r="U149" s="82" t="str">
        <x:f>IF(J149="","",IF(T149&lt;0,"EOL dépassée",IF(T149&lt;=180,"&lt; 6 mois",IF(T149&lt;=365,"&lt; 12 mois","OK"))))</x:f>
      </x:c>
    </x:row>
    <x:row r="150">
      <x:c r="A150" s="82"/>
      <x:c r="B150" s="82"/>
      <x:c r="C150" s="82"/>
      <x:c r="D150" s="82"/>
      <x:c r="E150" s="82"/>
      <x:c r="F150" s="82"/>
      <x:c r="G150" s="82"/>
      <x:c r="H150" s="82"/>
      <x:c r="I150" s="82"/>
      <x:c r="J150" s="110"/>
      <x:c r="K150" s="82"/>
      <x:c r="L150" s="82"/>
      <x:c r="M150" s="82"/>
      <x:c r="N150" s="82"/>
      <x:c r="O150" s="110"/>
      <x:c r="P150" s="82"/>
      <x:c r="Q150" s="82"/>
      <x:c r="R150" s="82"/>
      <x:c r="S150" s="82"/>
      <x:c r="T150" s="144" t="str">
        <x:f>IF(J150="","",J150-TODAY())</x:f>
      </x:c>
      <x:c r="U150" s="82" t="str">
        <x:f>IF(J150="","",IF(T150&lt;0,"EOL dépassée",IF(T150&lt;=180,"&lt; 6 mois",IF(T150&lt;=365,"&lt; 12 mois","OK"))))</x:f>
      </x:c>
    </x:row>
    <x:row r="151">
      <x:c r="A151" s="82"/>
      <x:c r="B151" s="82"/>
      <x:c r="C151" s="82"/>
      <x:c r="D151" s="82"/>
      <x:c r="E151" s="82"/>
      <x:c r="F151" s="82"/>
      <x:c r="G151" s="82"/>
      <x:c r="H151" s="82"/>
      <x:c r="I151" s="82"/>
      <x:c r="J151" s="110"/>
      <x:c r="K151" s="82"/>
      <x:c r="L151" s="82"/>
      <x:c r="M151" s="82"/>
      <x:c r="N151" s="82"/>
      <x:c r="O151" s="110"/>
      <x:c r="P151" s="82"/>
      <x:c r="Q151" s="82"/>
      <x:c r="R151" s="82"/>
      <x:c r="S151" s="82"/>
      <x:c r="T151" s="144" t="str">
        <x:f>IF(J151="","",J151-TODAY())</x:f>
      </x:c>
      <x:c r="U151" s="82" t="str">
        <x:f>IF(J151="","",IF(T151&lt;0,"EOL dépassée",IF(T151&lt;=180,"&lt; 6 mois",IF(T151&lt;=365,"&lt; 12 mois","OK"))))</x:f>
      </x:c>
    </x:row>
    <x:row r="152">
      <x:c r="A152" s="82"/>
      <x:c r="B152" s="82"/>
      <x:c r="C152" s="82"/>
      <x:c r="D152" s="82"/>
      <x:c r="E152" s="82"/>
      <x:c r="F152" s="82"/>
      <x:c r="G152" s="82"/>
      <x:c r="H152" s="82"/>
      <x:c r="I152" s="82"/>
      <x:c r="J152" s="110"/>
      <x:c r="K152" s="82"/>
      <x:c r="L152" s="82"/>
      <x:c r="M152" s="82"/>
      <x:c r="N152" s="82"/>
      <x:c r="O152" s="110"/>
      <x:c r="P152" s="82"/>
      <x:c r="Q152" s="82"/>
      <x:c r="R152" s="82"/>
      <x:c r="S152" s="82"/>
      <x:c r="T152" s="144" t="str">
        <x:f>IF(J152="","",J152-TODAY())</x:f>
      </x:c>
      <x:c r="U152" s="82" t="str">
        <x:f>IF(J152="","",IF(T152&lt;0,"EOL dépassée",IF(T152&lt;=180,"&lt; 6 mois",IF(T152&lt;=365,"&lt; 12 mois","OK"))))</x:f>
      </x:c>
    </x:row>
    <x:row r="153">
      <x:c r="A153" s="82"/>
      <x:c r="B153" s="82"/>
      <x:c r="C153" s="82"/>
      <x:c r="D153" s="82"/>
      <x:c r="E153" s="82"/>
      <x:c r="F153" s="82"/>
      <x:c r="G153" s="82"/>
      <x:c r="H153" s="82"/>
      <x:c r="I153" s="82"/>
      <x:c r="J153" s="110"/>
      <x:c r="K153" s="82"/>
      <x:c r="L153" s="82"/>
      <x:c r="M153" s="82"/>
      <x:c r="N153" s="82"/>
      <x:c r="O153" s="110"/>
      <x:c r="P153" s="82"/>
      <x:c r="Q153" s="82"/>
      <x:c r="R153" s="82"/>
      <x:c r="S153" s="82"/>
      <x:c r="T153" s="144" t="str">
        <x:f>IF(J153="","",J153-TODAY())</x:f>
      </x:c>
      <x:c r="U153" s="82" t="str">
        <x:f>IF(J153="","",IF(T153&lt;0,"EOL dépassée",IF(T153&lt;=180,"&lt; 6 mois",IF(T153&lt;=365,"&lt; 12 mois","OK"))))</x:f>
      </x:c>
    </x:row>
    <x:row r="154">
      <x:c r="A154" s="82"/>
      <x:c r="B154" s="82"/>
      <x:c r="C154" s="82"/>
      <x:c r="D154" s="82"/>
      <x:c r="E154" s="82"/>
      <x:c r="F154" s="82"/>
      <x:c r="G154" s="82"/>
      <x:c r="H154" s="82"/>
      <x:c r="I154" s="82"/>
      <x:c r="J154" s="110"/>
      <x:c r="K154" s="82"/>
      <x:c r="L154" s="82"/>
      <x:c r="M154" s="82"/>
      <x:c r="N154" s="82"/>
      <x:c r="O154" s="110"/>
      <x:c r="P154" s="82"/>
      <x:c r="Q154" s="82"/>
      <x:c r="R154" s="82"/>
      <x:c r="S154" s="82"/>
      <x:c r="T154" s="144" t="str">
        <x:f>IF(J154="","",J154-TODAY())</x:f>
      </x:c>
      <x:c r="U154" s="82" t="str">
        <x:f>IF(J154="","",IF(T154&lt;0,"EOL dépassée",IF(T154&lt;=180,"&lt; 6 mois",IF(T154&lt;=365,"&lt; 12 mois","OK"))))</x:f>
      </x:c>
    </x:row>
    <x:row r="155">
      <x:c r="A155" s="82"/>
      <x:c r="B155" s="82"/>
      <x:c r="C155" s="82"/>
      <x:c r="D155" s="82"/>
      <x:c r="E155" s="82"/>
      <x:c r="F155" s="82"/>
      <x:c r="G155" s="82"/>
      <x:c r="H155" s="82"/>
      <x:c r="I155" s="82"/>
      <x:c r="J155" s="110"/>
      <x:c r="K155" s="82"/>
      <x:c r="L155" s="82"/>
      <x:c r="M155" s="82"/>
      <x:c r="N155" s="82"/>
      <x:c r="O155" s="110"/>
      <x:c r="P155" s="82"/>
      <x:c r="Q155" s="82"/>
      <x:c r="R155" s="82"/>
      <x:c r="S155" s="82"/>
      <x:c r="T155" s="144" t="str">
        <x:f>IF(J155="","",J155-TODAY())</x:f>
      </x:c>
      <x:c r="U155" s="82" t="str">
        <x:f>IF(J155="","",IF(T155&lt;0,"EOL dépassée",IF(T155&lt;=180,"&lt; 6 mois",IF(T155&lt;=365,"&lt; 12 mois","OK"))))</x:f>
      </x:c>
    </x:row>
    <x:row r="156">
      <x:c r="A156" s="82"/>
      <x:c r="B156" s="82"/>
      <x:c r="C156" s="82"/>
      <x:c r="D156" s="82"/>
      <x:c r="E156" s="82"/>
      <x:c r="F156" s="82"/>
      <x:c r="G156" s="82"/>
      <x:c r="H156" s="82"/>
      <x:c r="I156" s="82"/>
      <x:c r="J156" s="110"/>
      <x:c r="K156" s="82"/>
      <x:c r="L156" s="82"/>
      <x:c r="M156" s="82"/>
      <x:c r="N156" s="82"/>
      <x:c r="O156" s="110"/>
      <x:c r="P156" s="82"/>
      <x:c r="Q156" s="82"/>
      <x:c r="R156" s="82"/>
      <x:c r="S156" s="82"/>
      <x:c r="T156" s="144" t="str">
        <x:f>IF(J156="","",J156-TODAY())</x:f>
      </x:c>
      <x:c r="U156" s="82" t="str">
        <x:f>IF(J156="","",IF(T156&lt;0,"EOL dépassée",IF(T156&lt;=180,"&lt; 6 mois",IF(T156&lt;=365,"&lt; 12 mois","OK"))))</x:f>
      </x:c>
    </x:row>
    <x:row r="157">
      <x:c r="A157" s="82"/>
      <x:c r="B157" s="82"/>
      <x:c r="C157" s="82"/>
      <x:c r="D157" s="82"/>
      <x:c r="E157" s="82"/>
      <x:c r="F157" s="82"/>
      <x:c r="G157" s="82"/>
      <x:c r="H157" s="82"/>
      <x:c r="I157" s="82"/>
      <x:c r="J157" s="110"/>
      <x:c r="K157" s="82"/>
      <x:c r="L157" s="82"/>
      <x:c r="M157" s="82"/>
      <x:c r="N157" s="82"/>
      <x:c r="O157" s="110"/>
      <x:c r="P157" s="82"/>
      <x:c r="Q157" s="82"/>
      <x:c r="R157" s="82"/>
      <x:c r="S157" s="82"/>
      <x:c r="T157" s="144" t="str">
        <x:f>IF(J157="","",J157-TODAY())</x:f>
      </x:c>
      <x:c r="U157" s="82" t="str">
        <x:f>IF(J157="","",IF(T157&lt;0,"EOL dépassée",IF(T157&lt;=180,"&lt; 6 mois",IF(T157&lt;=365,"&lt; 12 mois","OK"))))</x:f>
      </x:c>
    </x:row>
    <x:row r="158">
      <x:c r="A158" s="82"/>
      <x:c r="B158" s="82"/>
      <x:c r="C158" s="82"/>
      <x:c r="D158" s="82"/>
      <x:c r="E158" s="82"/>
      <x:c r="F158" s="82"/>
      <x:c r="G158" s="82"/>
      <x:c r="H158" s="82"/>
      <x:c r="I158" s="82"/>
      <x:c r="J158" s="110"/>
      <x:c r="K158" s="82"/>
      <x:c r="L158" s="82"/>
      <x:c r="M158" s="82"/>
      <x:c r="N158" s="82"/>
      <x:c r="O158" s="110"/>
      <x:c r="P158" s="82"/>
      <x:c r="Q158" s="82"/>
      <x:c r="R158" s="82"/>
      <x:c r="S158" s="82"/>
      <x:c r="T158" s="144" t="str">
        <x:f>IF(J158="","",J158-TODAY())</x:f>
      </x:c>
      <x:c r="U158" s="82" t="str">
        <x:f>IF(J158="","",IF(T158&lt;0,"EOL dépassée",IF(T158&lt;=180,"&lt; 6 mois",IF(T158&lt;=365,"&lt; 12 mois","OK"))))</x:f>
      </x:c>
    </x:row>
    <x:row r="159">
      <x:c r="A159" s="82"/>
      <x:c r="B159" s="82"/>
      <x:c r="C159" s="82"/>
      <x:c r="D159" s="82"/>
      <x:c r="E159" s="82"/>
      <x:c r="F159" s="82"/>
      <x:c r="G159" s="82"/>
      <x:c r="H159" s="82"/>
      <x:c r="I159" s="82"/>
      <x:c r="J159" s="110"/>
      <x:c r="K159" s="82"/>
      <x:c r="L159" s="82"/>
      <x:c r="M159" s="82"/>
      <x:c r="N159" s="82"/>
      <x:c r="O159" s="110"/>
      <x:c r="P159" s="82"/>
      <x:c r="Q159" s="82"/>
      <x:c r="R159" s="82"/>
      <x:c r="S159" s="82"/>
      <x:c r="T159" s="144" t="str">
        <x:f>IF(J159="","",J159-TODAY())</x:f>
      </x:c>
      <x:c r="U159" s="82" t="str">
        <x:f>IF(J159="","",IF(T159&lt;0,"EOL dépassée",IF(T159&lt;=180,"&lt; 6 mois",IF(T159&lt;=365,"&lt; 12 mois","OK"))))</x:f>
      </x:c>
    </x:row>
    <x:row r="160">
      <x:c r="A160" s="82"/>
      <x:c r="B160" s="82"/>
      <x:c r="C160" s="82"/>
      <x:c r="D160" s="82"/>
      <x:c r="E160" s="82"/>
      <x:c r="F160" s="82"/>
      <x:c r="G160" s="82"/>
      <x:c r="H160" s="82"/>
      <x:c r="I160" s="82"/>
      <x:c r="J160" s="110"/>
      <x:c r="K160" s="82"/>
      <x:c r="L160" s="82"/>
      <x:c r="M160" s="82"/>
      <x:c r="N160" s="82"/>
      <x:c r="O160" s="110"/>
      <x:c r="P160" s="82"/>
      <x:c r="Q160" s="82"/>
      <x:c r="R160" s="82"/>
      <x:c r="S160" s="82"/>
      <x:c r="T160" s="144" t="str">
        <x:f>IF(J160="","",J160-TODAY())</x:f>
      </x:c>
      <x:c r="U160" s="82" t="str">
        <x:f>IF(J160="","",IF(T160&lt;0,"EOL dépassée",IF(T160&lt;=180,"&lt; 6 mois",IF(T160&lt;=365,"&lt; 12 mois","OK"))))</x:f>
      </x:c>
    </x:row>
    <x:row r="161">
      <x:c r="A161" s="82"/>
      <x:c r="B161" s="82"/>
      <x:c r="C161" s="82"/>
      <x:c r="D161" s="82"/>
      <x:c r="E161" s="82"/>
      <x:c r="F161" s="82"/>
      <x:c r="G161" s="82"/>
      <x:c r="H161" s="82"/>
      <x:c r="I161" s="82"/>
      <x:c r="J161" s="110"/>
      <x:c r="K161" s="82"/>
      <x:c r="L161" s="82"/>
      <x:c r="M161" s="82"/>
      <x:c r="N161" s="82"/>
      <x:c r="O161" s="110"/>
      <x:c r="P161" s="82"/>
      <x:c r="Q161" s="82"/>
      <x:c r="R161" s="82"/>
      <x:c r="S161" s="82"/>
      <x:c r="T161" s="144" t="str">
        <x:f>IF(J161="","",J161-TODAY())</x:f>
      </x:c>
      <x:c r="U161" s="82" t="str">
        <x:f>IF(J161="","",IF(T161&lt;0,"EOL dépassée",IF(T161&lt;=180,"&lt; 6 mois",IF(T161&lt;=365,"&lt; 12 mois","OK"))))</x:f>
      </x:c>
    </x:row>
    <x:row r="162">
      <x:c r="A162" s="82"/>
      <x:c r="B162" s="82"/>
      <x:c r="C162" s="82"/>
      <x:c r="D162" s="82"/>
      <x:c r="E162" s="82"/>
      <x:c r="F162" s="82"/>
      <x:c r="G162" s="82"/>
      <x:c r="H162" s="82"/>
      <x:c r="I162" s="82"/>
      <x:c r="J162" s="110"/>
      <x:c r="K162" s="82"/>
      <x:c r="L162" s="82"/>
      <x:c r="M162" s="82"/>
      <x:c r="N162" s="82"/>
      <x:c r="O162" s="110"/>
      <x:c r="P162" s="82"/>
      <x:c r="Q162" s="82"/>
      <x:c r="R162" s="82"/>
      <x:c r="S162" s="82"/>
      <x:c r="T162" s="144" t="str">
        <x:f>IF(J162="","",J162-TODAY())</x:f>
      </x:c>
      <x:c r="U162" s="82" t="str">
        <x:f>IF(J162="","",IF(T162&lt;0,"EOL dépassée",IF(T162&lt;=180,"&lt; 6 mois",IF(T162&lt;=365,"&lt; 12 mois","OK"))))</x:f>
      </x:c>
    </x:row>
    <x:row r="163">
      <x:c r="A163" s="82"/>
      <x:c r="B163" s="82"/>
      <x:c r="C163" s="82"/>
      <x:c r="D163" s="82"/>
      <x:c r="E163" s="82"/>
      <x:c r="F163" s="82"/>
      <x:c r="G163" s="82"/>
      <x:c r="H163" s="82"/>
      <x:c r="I163" s="82"/>
      <x:c r="J163" s="110"/>
      <x:c r="K163" s="82"/>
      <x:c r="L163" s="82"/>
      <x:c r="M163" s="82"/>
      <x:c r="N163" s="82"/>
      <x:c r="O163" s="110"/>
      <x:c r="P163" s="82"/>
      <x:c r="Q163" s="82"/>
      <x:c r="R163" s="82"/>
      <x:c r="S163" s="82"/>
      <x:c r="T163" s="144" t="str">
        <x:f>IF(J163="","",J163-TODAY())</x:f>
      </x:c>
      <x:c r="U163" s="82" t="str">
        <x:f>IF(J163="","",IF(T163&lt;0,"EOL dépassée",IF(T163&lt;=180,"&lt; 6 mois",IF(T163&lt;=365,"&lt; 12 mois","OK"))))</x:f>
      </x:c>
    </x:row>
    <x:row r="164">
      <x:c r="A164" s="82"/>
      <x:c r="B164" s="82"/>
      <x:c r="C164" s="82"/>
      <x:c r="D164" s="82"/>
      <x:c r="E164" s="82"/>
      <x:c r="F164" s="82"/>
      <x:c r="G164" s="82"/>
      <x:c r="H164" s="82"/>
      <x:c r="I164" s="82"/>
      <x:c r="J164" s="110"/>
      <x:c r="K164" s="82"/>
      <x:c r="L164" s="82"/>
      <x:c r="M164" s="82"/>
      <x:c r="N164" s="82"/>
      <x:c r="O164" s="110"/>
      <x:c r="P164" s="82"/>
      <x:c r="Q164" s="82"/>
      <x:c r="R164" s="82"/>
      <x:c r="S164" s="82"/>
      <x:c r="T164" s="144" t="str">
        <x:f>IF(J164="","",J164-TODAY())</x:f>
      </x:c>
      <x:c r="U164" s="82" t="str">
        <x:f>IF(J164="","",IF(T164&lt;0,"EOL dépassée",IF(T164&lt;=180,"&lt; 6 mois",IF(T164&lt;=365,"&lt; 12 mois","OK"))))</x:f>
      </x:c>
    </x:row>
    <x:row r="165">
      <x:c r="A165" s="82"/>
      <x:c r="B165" s="82"/>
      <x:c r="C165" s="82"/>
      <x:c r="D165" s="82"/>
      <x:c r="E165" s="82"/>
      <x:c r="F165" s="82"/>
      <x:c r="G165" s="82"/>
      <x:c r="H165" s="82"/>
      <x:c r="I165" s="82"/>
      <x:c r="J165" s="110"/>
      <x:c r="K165" s="82"/>
      <x:c r="L165" s="82"/>
      <x:c r="M165" s="82"/>
      <x:c r="N165" s="82"/>
      <x:c r="O165" s="110"/>
      <x:c r="P165" s="82"/>
      <x:c r="Q165" s="82"/>
      <x:c r="R165" s="82"/>
      <x:c r="S165" s="82"/>
      <x:c r="T165" s="144" t="str">
        <x:f>IF(J165="","",J165-TODAY())</x:f>
      </x:c>
      <x:c r="U165" s="82" t="str">
        <x:f>IF(J165="","",IF(T165&lt;0,"EOL dépassée",IF(T165&lt;=180,"&lt; 6 mois",IF(T165&lt;=365,"&lt; 12 mois","OK"))))</x:f>
      </x:c>
    </x:row>
    <x:row r="166">
      <x:c r="A166" s="82"/>
      <x:c r="B166" s="82"/>
      <x:c r="C166" s="82"/>
      <x:c r="D166" s="82"/>
      <x:c r="E166" s="82"/>
      <x:c r="F166" s="82"/>
      <x:c r="G166" s="82"/>
      <x:c r="H166" s="82"/>
      <x:c r="I166" s="82"/>
      <x:c r="J166" s="110"/>
      <x:c r="K166" s="82"/>
      <x:c r="L166" s="82"/>
      <x:c r="M166" s="82"/>
      <x:c r="N166" s="82"/>
      <x:c r="O166" s="110"/>
      <x:c r="P166" s="82"/>
      <x:c r="Q166" s="82"/>
      <x:c r="R166" s="82"/>
      <x:c r="S166" s="82"/>
      <x:c r="T166" s="144" t="str">
        <x:f>IF(J166="","",J166-TODAY())</x:f>
      </x:c>
      <x:c r="U166" s="82" t="str">
        <x:f>IF(J166="","",IF(T166&lt;0,"EOL dépassée",IF(T166&lt;=180,"&lt; 6 mois",IF(T166&lt;=365,"&lt; 12 mois","OK"))))</x:f>
      </x:c>
    </x:row>
    <x:row r="167">
      <x:c r="A167" s="82"/>
      <x:c r="B167" s="82"/>
      <x:c r="C167" s="82"/>
      <x:c r="D167" s="82"/>
      <x:c r="E167" s="82"/>
      <x:c r="F167" s="82"/>
      <x:c r="G167" s="82"/>
      <x:c r="H167" s="82"/>
      <x:c r="I167" s="82"/>
      <x:c r="J167" s="110"/>
      <x:c r="K167" s="82"/>
      <x:c r="L167" s="82"/>
      <x:c r="M167" s="82"/>
      <x:c r="N167" s="82"/>
      <x:c r="O167" s="110"/>
      <x:c r="P167" s="82"/>
      <x:c r="Q167" s="82"/>
      <x:c r="R167" s="82"/>
      <x:c r="S167" s="82"/>
      <x:c r="T167" s="144" t="str">
        <x:f>IF(J167="","",J167-TODAY())</x:f>
      </x:c>
      <x:c r="U167" s="82" t="str">
        <x:f>IF(J167="","",IF(T167&lt;0,"EOL dépassée",IF(T167&lt;=180,"&lt; 6 mois",IF(T167&lt;=365,"&lt; 12 mois","OK"))))</x:f>
      </x:c>
    </x:row>
    <x:row r="168">
      <x:c r="A168" s="82"/>
      <x:c r="B168" s="82"/>
      <x:c r="C168" s="82"/>
      <x:c r="D168" s="82"/>
      <x:c r="E168" s="82"/>
      <x:c r="F168" s="82"/>
      <x:c r="G168" s="82"/>
      <x:c r="H168" s="82"/>
      <x:c r="I168" s="82"/>
      <x:c r="J168" s="110"/>
      <x:c r="K168" s="82"/>
      <x:c r="L168" s="82"/>
      <x:c r="M168" s="82"/>
      <x:c r="N168" s="82"/>
      <x:c r="O168" s="110"/>
      <x:c r="P168" s="82"/>
      <x:c r="Q168" s="82"/>
      <x:c r="R168" s="82"/>
      <x:c r="S168" s="82"/>
      <x:c r="T168" s="144" t="str">
        <x:f>IF(J168="","",J168-TODAY())</x:f>
      </x:c>
      <x:c r="U168" s="82" t="str">
        <x:f>IF(J168="","",IF(T168&lt;0,"EOL dépassée",IF(T168&lt;=180,"&lt; 6 mois",IF(T168&lt;=365,"&lt; 12 mois","OK"))))</x:f>
      </x:c>
    </x:row>
    <x:row r="169">
      <x:c r="A169" s="82"/>
      <x:c r="B169" s="82"/>
      <x:c r="C169" s="82"/>
      <x:c r="D169" s="82"/>
      <x:c r="E169" s="82"/>
      <x:c r="F169" s="82"/>
      <x:c r="G169" s="82"/>
      <x:c r="H169" s="82"/>
      <x:c r="I169" s="82"/>
      <x:c r="J169" s="110"/>
      <x:c r="K169" s="82"/>
      <x:c r="L169" s="82"/>
      <x:c r="M169" s="82"/>
      <x:c r="N169" s="82"/>
      <x:c r="O169" s="110"/>
      <x:c r="P169" s="82"/>
      <x:c r="Q169" s="82"/>
      <x:c r="R169" s="82"/>
      <x:c r="S169" s="82"/>
      <x:c r="T169" s="144" t="str">
        <x:f>IF(J169="","",J169-TODAY())</x:f>
      </x:c>
      <x:c r="U169" s="82" t="str">
        <x:f>IF(J169="","",IF(T169&lt;0,"EOL dépassée",IF(T169&lt;=180,"&lt; 6 mois",IF(T169&lt;=365,"&lt; 12 mois","OK"))))</x:f>
      </x:c>
    </x:row>
    <x:row r="170">
      <x:c r="A170" s="82"/>
      <x:c r="B170" s="82"/>
      <x:c r="C170" s="82"/>
      <x:c r="D170" s="82"/>
      <x:c r="E170" s="82"/>
      <x:c r="F170" s="82"/>
      <x:c r="G170" s="82"/>
      <x:c r="H170" s="82"/>
      <x:c r="I170" s="82"/>
      <x:c r="J170" s="110"/>
      <x:c r="K170" s="82"/>
      <x:c r="L170" s="82"/>
      <x:c r="M170" s="82"/>
      <x:c r="N170" s="82"/>
      <x:c r="O170" s="110"/>
      <x:c r="P170" s="82"/>
      <x:c r="Q170" s="82"/>
      <x:c r="R170" s="82"/>
      <x:c r="S170" s="82"/>
      <x:c r="T170" s="144" t="str">
        <x:f>IF(J170="","",J170-TODAY())</x:f>
      </x:c>
      <x:c r="U170" s="82" t="str">
        <x:f>IF(J170="","",IF(T170&lt;0,"EOL dépassée",IF(T170&lt;=180,"&lt; 6 mois",IF(T170&lt;=365,"&lt; 12 mois","OK"))))</x:f>
      </x:c>
    </x:row>
    <x:row r="171">
      <x:c r="A171" s="82"/>
      <x:c r="B171" s="82"/>
      <x:c r="C171" s="82"/>
      <x:c r="D171" s="82"/>
      <x:c r="E171" s="82"/>
      <x:c r="F171" s="82"/>
      <x:c r="G171" s="82"/>
      <x:c r="H171" s="82"/>
      <x:c r="I171" s="82"/>
      <x:c r="J171" s="110"/>
      <x:c r="K171" s="82"/>
      <x:c r="L171" s="82"/>
      <x:c r="M171" s="82"/>
      <x:c r="N171" s="82"/>
      <x:c r="O171" s="110"/>
      <x:c r="P171" s="82"/>
      <x:c r="Q171" s="82"/>
      <x:c r="R171" s="82"/>
      <x:c r="S171" s="82"/>
      <x:c r="T171" s="144" t="str">
        <x:f>IF(J171="","",J171-TODAY())</x:f>
      </x:c>
      <x:c r="U171" s="82" t="str">
        <x:f>IF(J171="","",IF(T171&lt;0,"EOL dépassée",IF(T171&lt;=180,"&lt; 6 mois",IF(T171&lt;=365,"&lt; 12 mois","OK"))))</x:f>
      </x:c>
    </x:row>
    <x:row r="172">
      <x:c r="A172" s="82"/>
      <x:c r="B172" s="82"/>
      <x:c r="C172" s="82"/>
      <x:c r="D172" s="82"/>
      <x:c r="E172" s="82"/>
      <x:c r="F172" s="82"/>
      <x:c r="G172" s="82"/>
      <x:c r="H172" s="82"/>
      <x:c r="I172" s="82"/>
      <x:c r="J172" s="110"/>
      <x:c r="K172" s="82"/>
      <x:c r="L172" s="82"/>
      <x:c r="M172" s="82"/>
      <x:c r="N172" s="82"/>
      <x:c r="O172" s="110"/>
      <x:c r="P172" s="82"/>
      <x:c r="Q172" s="82"/>
      <x:c r="R172" s="82"/>
      <x:c r="S172" s="82"/>
      <x:c r="T172" s="144" t="str">
        <x:f>IF(J172="","",J172-TODAY())</x:f>
      </x:c>
      <x:c r="U172" s="82" t="str">
        <x:f>IF(J172="","",IF(T172&lt;0,"EOL dépassée",IF(T172&lt;=180,"&lt; 6 mois",IF(T172&lt;=365,"&lt; 12 mois","OK"))))</x:f>
      </x:c>
    </x:row>
    <x:row r="173">
      <x:c r="A173" s="82"/>
      <x:c r="B173" s="82"/>
      <x:c r="C173" s="82"/>
      <x:c r="D173" s="82"/>
      <x:c r="E173" s="82"/>
      <x:c r="F173" s="82"/>
      <x:c r="G173" s="82"/>
      <x:c r="H173" s="82"/>
      <x:c r="I173" s="82"/>
      <x:c r="J173" s="110"/>
      <x:c r="K173" s="82"/>
      <x:c r="L173" s="82"/>
      <x:c r="M173" s="82"/>
      <x:c r="N173" s="82"/>
      <x:c r="O173" s="110"/>
      <x:c r="P173" s="82"/>
      <x:c r="Q173" s="82"/>
      <x:c r="R173" s="82"/>
      <x:c r="S173" s="82"/>
      <x:c r="T173" s="144" t="str">
        <x:f>IF(J173="","",J173-TODAY())</x:f>
      </x:c>
      <x:c r="U173" s="82" t="str">
        <x:f>IF(J173="","",IF(T173&lt;0,"EOL dépassée",IF(T173&lt;=180,"&lt; 6 mois",IF(T173&lt;=365,"&lt; 12 mois","OK"))))</x:f>
      </x:c>
    </x:row>
    <x:row r="174">
      <x:c r="A174" s="82"/>
      <x:c r="B174" s="82"/>
      <x:c r="C174" s="82"/>
      <x:c r="D174" s="82"/>
      <x:c r="E174" s="82"/>
      <x:c r="F174" s="82"/>
      <x:c r="G174" s="82"/>
      <x:c r="H174" s="82"/>
      <x:c r="I174" s="82"/>
      <x:c r="J174" s="110"/>
      <x:c r="K174" s="82"/>
      <x:c r="L174" s="82"/>
      <x:c r="M174" s="82"/>
      <x:c r="N174" s="82"/>
      <x:c r="O174" s="110"/>
      <x:c r="P174" s="82"/>
      <x:c r="Q174" s="82"/>
      <x:c r="R174" s="82"/>
      <x:c r="S174" s="82"/>
      <x:c r="T174" s="144" t="str">
        <x:f>IF(J174="","",J174-TODAY())</x:f>
      </x:c>
      <x:c r="U174" s="82" t="str">
        <x:f>IF(J174="","",IF(T174&lt;0,"EOL dépassée",IF(T174&lt;=180,"&lt; 6 mois",IF(T174&lt;=365,"&lt; 12 mois","OK"))))</x:f>
      </x:c>
    </x:row>
    <x:row r="175">
      <x:c r="A175" s="82"/>
      <x:c r="B175" s="82"/>
      <x:c r="C175" s="82"/>
      <x:c r="D175" s="82"/>
      <x:c r="E175" s="82"/>
      <x:c r="F175" s="82"/>
      <x:c r="G175" s="82"/>
      <x:c r="H175" s="82"/>
      <x:c r="I175" s="82"/>
      <x:c r="J175" s="110"/>
      <x:c r="K175" s="82"/>
      <x:c r="L175" s="82"/>
      <x:c r="M175" s="82"/>
      <x:c r="N175" s="82"/>
      <x:c r="O175" s="110"/>
      <x:c r="P175" s="82"/>
      <x:c r="Q175" s="82"/>
      <x:c r="R175" s="82"/>
      <x:c r="S175" s="82"/>
      <x:c r="T175" s="144" t="str">
        <x:f>IF(J175="","",J175-TODAY())</x:f>
      </x:c>
      <x:c r="U175" s="82" t="str">
        <x:f>IF(J175="","",IF(T175&lt;0,"EOL dépassée",IF(T175&lt;=180,"&lt; 6 mois",IF(T175&lt;=365,"&lt; 12 mois","OK"))))</x:f>
      </x:c>
    </x:row>
    <x:row r="176">
      <x:c r="A176" s="82"/>
      <x:c r="B176" s="82"/>
      <x:c r="C176" s="82"/>
      <x:c r="D176" s="82"/>
      <x:c r="E176" s="82"/>
      <x:c r="F176" s="82"/>
      <x:c r="G176" s="82"/>
      <x:c r="H176" s="82"/>
      <x:c r="I176" s="82"/>
      <x:c r="J176" s="110"/>
      <x:c r="K176" s="82"/>
      <x:c r="L176" s="82"/>
      <x:c r="M176" s="82"/>
      <x:c r="N176" s="82"/>
      <x:c r="O176" s="110"/>
      <x:c r="P176" s="82"/>
      <x:c r="Q176" s="82"/>
      <x:c r="R176" s="82"/>
      <x:c r="S176" s="82"/>
      <x:c r="T176" s="144" t="str">
        <x:f>IF(J176="","",J176-TODAY())</x:f>
      </x:c>
      <x:c r="U176" s="82" t="str">
        <x:f>IF(J176="","",IF(T176&lt;0,"EOL dépassée",IF(T176&lt;=180,"&lt; 6 mois",IF(T176&lt;=365,"&lt; 12 mois","OK"))))</x:f>
      </x:c>
    </x:row>
    <x:row r="177">
      <x:c r="A177" s="82"/>
      <x:c r="B177" s="82"/>
      <x:c r="C177" s="82"/>
      <x:c r="D177" s="82"/>
      <x:c r="E177" s="82"/>
      <x:c r="F177" s="82"/>
      <x:c r="G177" s="82"/>
      <x:c r="H177" s="82"/>
      <x:c r="I177" s="82"/>
      <x:c r="J177" s="110"/>
      <x:c r="K177" s="82"/>
      <x:c r="L177" s="82"/>
      <x:c r="M177" s="82"/>
      <x:c r="N177" s="82"/>
      <x:c r="O177" s="110"/>
      <x:c r="P177" s="82"/>
      <x:c r="Q177" s="82"/>
      <x:c r="R177" s="82"/>
      <x:c r="S177" s="82"/>
      <x:c r="T177" s="144" t="str">
        <x:f>IF(J177="","",J177-TODAY())</x:f>
      </x:c>
      <x:c r="U177" s="82" t="str">
        <x:f>IF(J177="","",IF(T177&lt;0,"EOL dépassée",IF(T177&lt;=180,"&lt; 6 mois",IF(T177&lt;=365,"&lt; 12 mois","OK"))))</x:f>
      </x:c>
    </x:row>
    <x:row r="178">
      <x:c r="A178" s="82"/>
      <x:c r="B178" s="82"/>
      <x:c r="C178" s="82"/>
      <x:c r="D178" s="82"/>
      <x:c r="E178" s="82"/>
      <x:c r="F178" s="82"/>
      <x:c r="G178" s="82"/>
      <x:c r="H178" s="82"/>
      <x:c r="I178" s="82"/>
      <x:c r="J178" s="110"/>
      <x:c r="K178" s="82"/>
      <x:c r="L178" s="82"/>
      <x:c r="M178" s="82"/>
      <x:c r="N178" s="82"/>
      <x:c r="O178" s="110"/>
      <x:c r="P178" s="82"/>
      <x:c r="Q178" s="82"/>
      <x:c r="R178" s="82"/>
      <x:c r="S178" s="82"/>
      <x:c r="T178" s="144" t="str">
        <x:f>IF(J178="","",J178-TODAY())</x:f>
      </x:c>
      <x:c r="U178" s="82" t="str">
        <x:f>IF(J178="","",IF(T178&lt;0,"EOL dépassée",IF(T178&lt;=180,"&lt; 6 mois",IF(T178&lt;=365,"&lt; 12 mois","OK"))))</x:f>
      </x:c>
    </x:row>
    <x:row r="179">
      <x:c r="A179" s="82"/>
      <x:c r="B179" s="82"/>
      <x:c r="C179" s="82"/>
      <x:c r="D179" s="82"/>
      <x:c r="E179" s="82"/>
      <x:c r="F179" s="82"/>
      <x:c r="G179" s="82"/>
      <x:c r="H179" s="82"/>
      <x:c r="I179" s="82"/>
      <x:c r="J179" s="110"/>
      <x:c r="K179" s="82"/>
      <x:c r="L179" s="82"/>
      <x:c r="M179" s="82"/>
      <x:c r="N179" s="82"/>
      <x:c r="O179" s="110"/>
      <x:c r="P179" s="82"/>
      <x:c r="Q179" s="82"/>
      <x:c r="R179" s="82"/>
      <x:c r="S179" s="82"/>
      <x:c r="T179" s="144" t="str">
        <x:f>IF(J179="","",J179-TODAY())</x:f>
      </x:c>
      <x:c r="U179" s="82" t="str">
        <x:f>IF(J179="","",IF(T179&lt;0,"EOL dépassée",IF(T179&lt;=180,"&lt; 6 mois",IF(T179&lt;=365,"&lt; 12 mois","OK"))))</x:f>
      </x:c>
    </x:row>
    <x:row r="180">
      <x:c r="A180" s="82"/>
      <x:c r="B180" s="82"/>
      <x:c r="C180" s="82"/>
      <x:c r="D180" s="82"/>
      <x:c r="E180" s="82"/>
      <x:c r="F180" s="82"/>
      <x:c r="G180" s="82"/>
      <x:c r="H180" s="82"/>
      <x:c r="I180" s="82"/>
      <x:c r="J180" s="110"/>
      <x:c r="K180" s="82"/>
      <x:c r="L180" s="82"/>
      <x:c r="M180" s="82"/>
      <x:c r="N180" s="82"/>
      <x:c r="O180" s="110"/>
      <x:c r="P180" s="82"/>
      <x:c r="Q180" s="82"/>
      <x:c r="R180" s="82"/>
      <x:c r="S180" s="82"/>
      <x:c r="T180" s="144" t="str">
        <x:f>IF(J180="","",J180-TODAY())</x:f>
      </x:c>
      <x:c r="U180" s="82" t="str">
        <x:f>IF(J180="","",IF(T180&lt;0,"EOL dépassée",IF(T180&lt;=180,"&lt; 6 mois",IF(T180&lt;=365,"&lt; 12 mois","OK"))))</x:f>
      </x:c>
    </x:row>
    <x:row r="181">
      <x:c r="A181" s="82"/>
      <x:c r="B181" s="82"/>
      <x:c r="C181" s="82"/>
      <x:c r="D181" s="82"/>
      <x:c r="E181" s="82"/>
      <x:c r="F181" s="82"/>
      <x:c r="G181" s="82"/>
      <x:c r="H181" s="82"/>
      <x:c r="I181" s="82"/>
      <x:c r="J181" s="110"/>
      <x:c r="K181" s="82"/>
      <x:c r="L181" s="82"/>
      <x:c r="M181" s="82"/>
      <x:c r="N181" s="82"/>
      <x:c r="O181" s="110"/>
      <x:c r="P181" s="82"/>
      <x:c r="Q181" s="82"/>
      <x:c r="R181" s="82"/>
      <x:c r="S181" s="82"/>
      <x:c r="T181" s="144" t="str">
        <x:f>IF(J181="","",J181-TODAY())</x:f>
      </x:c>
      <x:c r="U181" s="82" t="str">
        <x:f>IF(J181="","",IF(T181&lt;0,"EOL dépassée",IF(T181&lt;=180,"&lt; 6 mois",IF(T181&lt;=365,"&lt; 12 mois","OK"))))</x:f>
      </x:c>
    </x:row>
    <x:row r="182">
      <x:c r="A182" s="82"/>
      <x:c r="B182" s="82"/>
      <x:c r="C182" s="82"/>
      <x:c r="D182" s="82"/>
      <x:c r="E182" s="82"/>
      <x:c r="F182" s="82"/>
      <x:c r="G182" s="82"/>
      <x:c r="H182" s="82"/>
      <x:c r="I182" s="82"/>
      <x:c r="J182" s="110"/>
      <x:c r="K182" s="82"/>
      <x:c r="L182" s="82"/>
      <x:c r="M182" s="82"/>
      <x:c r="N182" s="82"/>
      <x:c r="O182" s="110"/>
      <x:c r="P182" s="82"/>
      <x:c r="Q182" s="82"/>
      <x:c r="R182" s="82"/>
      <x:c r="S182" s="82"/>
      <x:c r="T182" s="144" t="str">
        <x:f>IF(J182="","",J182-TODAY())</x:f>
      </x:c>
      <x:c r="U182" s="82" t="str">
        <x:f>IF(J182="","",IF(T182&lt;0,"EOL dépassée",IF(T182&lt;=180,"&lt; 6 mois",IF(T182&lt;=365,"&lt; 12 mois","OK"))))</x:f>
      </x:c>
    </x:row>
    <x:row r="183">
      <x:c r="A183" s="82"/>
      <x:c r="B183" s="82"/>
      <x:c r="C183" s="82"/>
      <x:c r="D183" s="82"/>
      <x:c r="E183" s="82"/>
      <x:c r="F183" s="82"/>
      <x:c r="G183" s="82"/>
      <x:c r="H183" s="82"/>
      <x:c r="I183" s="82"/>
      <x:c r="J183" s="110"/>
      <x:c r="K183" s="82"/>
      <x:c r="L183" s="82"/>
      <x:c r="M183" s="82"/>
      <x:c r="N183" s="82"/>
      <x:c r="O183" s="110"/>
      <x:c r="P183" s="82"/>
      <x:c r="Q183" s="82"/>
      <x:c r="R183" s="82"/>
      <x:c r="S183" s="82"/>
      <x:c r="T183" s="144" t="str">
        <x:f>IF(J183="","",J183-TODAY())</x:f>
      </x:c>
      <x:c r="U183" s="82" t="str">
        <x:f>IF(J183="","",IF(T183&lt;0,"EOL dépassée",IF(T183&lt;=180,"&lt; 6 mois",IF(T183&lt;=365,"&lt; 12 mois","OK"))))</x:f>
      </x:c>
    </x:row>
    <x:row r="184">
      <x:c r="A184" s="82"/>
      <x:c r="B184" s="82"/>
      <x:c r="C184" s="82"/>
      <x:c r="D184" s="82"/>
      <x:c r="E184" s="82"/>
      <x:c r="F184" s="82"/>
      <x:c r="G184" s="82"/>
      <x:c r="H184" s="82"/>
      <x:c r="I184" s="82"/>
      <x:c r="J184" s="110"/>
      <x:c r="K184" s="82"/>
      <x:c r="L184" s="82"/>
      <x:c r="M184" s="82"/>
      <x:c r="N184" s="82"/>
      <x:c r="O184" s="110"/>
      <x:c r="P184" s="82"/>
      <x:c r="Q184" s="82"/>
      <x:c r="R184" s="82"/>
      <x:c r="S184" s="82"/>
      <x:c r="T184" s="144" t="str">
        <x:f>IF(J184="","",J184-TODAY())</x:f>
      </x:c>
      <x:c r="U184" s="82" t="str">
        <x:f>IF(J184="","",IF(T184&lt;0,"EOL dépassée",IF(T184&lt;=180,"&lt; 6 mois",IF(T184&lt;=365,"&lt; 12 mois","OK"))))</x:f>
      </x:c>
    </x:row>
    <x:row r="185">
      <x:c r="A185" s="82"/>
      <x:c r="B185" s="82"/>
      <x:c r="C185" s="82"/>
      <x:c r="D185" s="82"/>
      <x:c r="E185" s="82"/>
      <x:c r="F185" s="82"/>
      <x:c r="G185" s="82"/>
      <x:c r="H185" s="82"/>
      <x:c r="I185" s="82"/>
      <x:c r="J185" s="110"/>
      <x:c r="K185" s="82"/>
      <x:c r="L185" s="82"/>
      <x:c r="M185" s="82"/>
      <x:c r="N185" s="82"/>
      <x:c r="O185" s="110"/>
      <x:c r="P185" s="82"/>
      <x:c r="Q185" s="82"/>
      <x:c r="R185" s="82"/>
      <x:c r="S185" s="82"/>
      <x:c r="T185" s="144" t="str">
        <x:f>IF(J185="","",J185-TODAY())</x:f>
      </x:c>
      <x:c r="U185" s="82" t="str">
        <x:f>IF(J185="","",IF(T185&lt;0,"EOL dépassée",IF(T185&lt;=180,"&lt; 6 mois",IF(T185&lt;=365,"&lt; 12 mois","OK"))))</x:f>
      </x:c>
    </x:row>
    <x:row r="186">
      <x:c r="A186" s="82"/>
      <x:c r="B186" s="82"/>
      <x:c r="C186" s="82"/>
      <x:c r="D186" s="82"/>
      <x:c r="E186" s="82"/>
      <x:c r="F186" s="82"/>
      <x:c r="G186" s="82"/>
      <x:c r="H186" s="82"/>
      <x:c r="I186" s="82"/>
      <x:c r="J186" s="110"/>
      <x:c r="K186" s="82"/>
      <x:c r="L186" s="82"/>
      <x:c r="M186" s="82"/>
      <x:c r="N186" s="82"/>
      <x:c r="O186" s="110"/>
      <x:c r="P186" s="82"/>
      <x:c r="Q186" s="82"/>
      <x:c r="R186" s="82"/>
      <x:c r="S186" s="82"/>
      <x:c r="T186" s="144" t="str">
        <x:f>IF(J186="","",J186-TODAY())</x:f>
      </x:c>
      <x:c r="U186" s="82" t="str">
        <x:f>IF(J186="","",IF(T186&lt;0,"EOL dépassée",IF(T186&lt;=180,"&lt; 6 mois",IF(T186&lt;=365,"&lt; 12 mois","OK"))))</x:f>
      </x:c>
    </x:row>
    <x:row r="187">
      <x:c r="A187" s="82"/>
      <x:c r="B187" s="82"/>
      <x:c r="C187" s="82"/>
      <x:c r="D187" s="82"/>
      <x:c r="E187" s="82"/>
      <x:c r="F187" s="82"/>
      <x:c r="G187" s="82"/>
      <x:c r="H187" s="82"/>
      <x:c r="I187" s="82"/>
      <x:c r="J187" s="110"/>
      <x:c r="K187" s="82"/>
      <x:c r="L187" s="82"/>
      <x:c r="M187" s="82"/>
      <x:c r="N187" s="82"/>
      <x:c r="O187" s="110"/>
      <x:c r="P187" s="82"/>
      <x:c r="Q187" s="82"/>
      <x:c r="R187" s="82"/>
      <x:c r="S187" s="82"/>
      <x:c r="T187" s="144" t="str">
        <x:f>IF(J187="","",J187-TODAY())</x:f>
      </x:c>
      <x:c r="U187" s="82" t="str">
        <x:f>IF(J187="","",IF(T187&lt;0,"EOL dépassée",IF(T187&lt;=180,"&lt; 6 mois",IF(T187&lt;=365,"&lt; 12 mois","OK"))))</x:f>
      </x:c>
    </x:row>
    <x:row r="188">
      <x:c r="A188" s="82"/>
      <x:c r="B188" s="82"/>
      <x:c r="C188" s="82"/>
      <x:c r="D188" s="82"/>
      <x:c r="E188" s="82"/>
      <x:c r="F188" s="82"/>
      <x:c r="G188" s="82"/>
      <x:c r="H188" s="82"/>
      <x:c r="I188" s="82"/>
      <x:c r="J188" s="110"/>
      <x:c r="K188" s="82"/>
      <x:c r="L188" s="82"/>
      <x:c r="M188" s="82"/>
      <x:c r="N188" s="82"/>
      <x:c r="O188" s="110"/>
      <x:c r="P188" s="82"/>
      <x:c r="Q188" s="82"/>
      <x:c r="R188" s="82"/>
      <x:c r="S188" s="82"/>
      <x:c r="T188" s="144" t="str">
        <x:f>IF(J188="","",J188-TODAY())</x:f>
      </x:c>
      <x:c r="U188" s="82" t="str">
        <x:f>IF(J188="","",IF(T188&lt;0,"EOL dépassée",IF(T188&lt;=180,"&lt; 6 mois",IF(T188&lt;=365,"&lt; 12 mois","OK"))))</x:f>
      </x:c>
    </x:row>
    <x:row r="189">
      <x:c r="A189" s="82"/>
      <x:c r="B189" s="82"/>
      <x:c r="C189" s="82"/>
      <x:c r="D189" s="82"/>
      <x:c r="E189" s="82"/>
      <x:c r="F189" s="82"/>
      <x:c r="G189" s="82"/>
      <x:c r="H189" s="82"/>
      <x:c r="I189" s="82"/>
      <x:c r="J189" s="110"/>
      <x:c r="K189" s="82"/>
      <x:c r="L189" s="82"/>
      <x:c r="M189" s="82"/>
      <x:c r="N189" s="82"/>
      <x:c r="O189" s="110"/>
      <x:c r="P189" s="82"/>
      <x:c r="Q189" s="82"/>
      <x:c r="R189" s="82"/>
      <x:c r="S189" s="82"/>
      <x:c r="T189" s="144" t="str">
        <x:f>IF(J189="","",J189-TODAY())</x:f>
      </x:c>
      <x:c r="U189" s="82" t="str">
        <x:f>IF(J189="","",IF(T189&lt;0,"EOL dépassée",IF(T189&lt;=180,"&lt; 6 mois",IF(T189&lt;=365,"&lt; 12 mois","OK"))))</x:f>
      </x:c>
    </x:row>
    <x:row r="190">
      <x:c r="A190" s="82"/>
      <x:c r="B190" s="82"/>
      <x:c r="C190" s="82"/>
      <x:c r="D190" s="82"/>
      <x:c r="E190" s="82"/>
      <x:c r="F190" s="82"/>
      <x:c r="G190" s="82"/>
      <x:c r="H190" s="82"/>
      <x:c r="I190" s="82"/>
      <x:c r="J190" s="110"/>
      <x:c r="K190" s="82"/>
      <x:c r="L190" s="82"/>
      <x:c r="M190" s="82"/>
      <x:c r="N190" s="82"/>
      <x:c r="O190" s="110"/>
      <x:c r="P190" s="82"/>
      <x:c r="Q190" s="82"/>
      <x:c r="R190" s="82"/>
      <x:c r="S190" s="82"/>
      <x:c r="T190" s="144" t="str">
        <x:f>IF(J190="","",J190-TODAY())</x:f>
      </x:c>
      <x:c r="U190" s="82" t="str">
        <x:f>IF(J190="","",IF(T190&lt;0,"EOL dépassée",IF(T190&lt;=180,"&lt; 6 mois",IF(T190&lt;=365,"&lt; 12 mois","OK"))))</x:f>
      </x:c>
    </x:row>
    <x:row r="191">
      <x:c r="A191" s="82"/>
      <x:c r="B191" s="82"/>
      <x:c r="C191" s="82"/>
      <x:c r="D191" s="82"/>
      <x:c r="E191" s="82"/>
      <x:c r="F191" s="82"/>
      <x:c r="G191" s="82"/>
      <x:c r="H191" s="82"/>
      <x:c r="I191" s="82"/>
      <x:c r="J191" s="110"/>
      <x:c r="K191" s="82"/>
      <x:c r="L191" s="82"/>
      <x:c r="M191" s="82"/>
      <x:c r="N191" s="82"/>
      <x:c r="O191" s="110"/>
      <x:c r="P191" s="82"/>
      <x:c r="Q191" s="82"/>
      <x:c r="R191" s="82"/>
      <x:c r="S191" s="82"/>
      <x:c r="T191" s="144" t="str">
        <x:f>IF(J191="","",J191-TODAY())</x:f>
      </x:c>
      <x:c r="U191" s="82" t="str">
        <x:f>IF(J191="","",IF(T191&lt;0,"EOL dépassée",IF(T191&lt;=180,"&lt; 6 mois",IF(T191&lt;=365,"&lt; 12 mois","OK"))))</x:f>
      </x:c>
    </x:row>
    <x:row r="192">
      <x:c r="A192" s="82"/>
      <x:c r="B192" s="82"/>
      <x:c r="C192" s="82"/>
      <x:c r="D192" s="82"/>
      <x:c r="E192" s="82"/>
      <x:c r="F192" s="82"/>
      <x:c r="G192" s="82"/>
      <x:c r="H192" s="82"/>
      <x:c r="I192" s="82"/>
      <x:c r="J192" s="110"/>
      <x:c r="K192" s="82"/>
      <x:c r="L192" s="82"/>
      <x:c r="M192" s="82"/>
      <x:c r="N192" s="82"/>
      <x:c r="O192" s="110"/>
      <x:c r="P192" s="82"/>
      <x:c r="Q192" s="82"/>
      <x:c r="R192" s="82"/>
      <x:c r="S192" s="82"/>
      <x:c r="T192" s="144" t="str">
        <x:f>IF(J192="","",J192-TODAY())</x:f>
      </x:c>
      <x:c r="U192" s="82" t="str">
        <x:f>IF(J192="","",IF(T192&lt;0,"EOL dépassée",IF(T192&lt;=180,"&lt; 6 mois",IF(T192&lt;=365,"&lt; 12 mois","OK"))))</x:f>
      </x:c>
    </x:row>
    <x:row r="193">
      <x:c r="A193" s="82"/>
      <x:c r="B193" s="82"/>
      <x:c r="C193" s="82"/>
      <x:c r="D193" s="82"/>
      <x:c r="E193" s="82"/>
      <x:c r="F193" s="82"/>
      <x:c r="G193" s="82"/>
      <x:c r="H193" s="82"/>
      <x:c r="I193" s="82"/>
      <x:c r="J193" s="110"/>
      <x:c r="K193" s="82"/>
      <x:c r="L193" s="82"/>
      <x:c r="M193" s="82"/>
      <x:c r="N193" s="82"/>
      <x:c r="O193" s="110"/>
      <x:c r="P193" s="82"/>
      <x:c r="Q193" s="82"/>
      <x:c r="R193" s="82"/>
      <x:c r="S193" s="82"/>
      <x:c r="T193" s="144" t="str">
        <x:f>IF(J193="","",J193-TODAY())</x:f>
      </x:c>
      <x:c r="U193" s="82" t="str">
        <x:f>IF(J193="","",IF(T193&lt;0,"EOL dépassée",IF(T193&lt;=180,"&lt; 6 mois",IF(T193&lt;=365,"&lt; 12 mois","OK"))))</x:f>
      </x:c>
    </x:row>
    <x:row r="194">
      <x:c r="A194" s="82"/>
      <x:c r="B194" s="82"/>
      <x:c r="C194" s="82"/>
      <x:c r="D194" s="82"/>
      <x:c r="E194" s="82"/>
      <x:c r="F194" s="82"/>
      <x:c r="G194" s="82"/>
      <x:c r="H194" s="82"/>
      <x:c r="I194" s="82"/>
      <x:c r="J194" s="110"/>
      <x:c r="K194" s="82"/>
      <x:c r="L194" s="82"/>
      <x:c r="M194" s="82"/>
      <x:c r="N194" s="82"/>
      <x:c r="O194" s="110"/>
      <x:c r="P194" s="82"/>
      <x:c r="Q194" s="82"/>
      <x:c r="R194" s="82"/>
      <x:c r="S194" s="82"/>
      <x:c r="T194" s="144" t="str">
        <x:f>IF(J194="","",J194-TODAY())</x:f>
      </x:c>
      <x:c r="U194" s="82" t="str">
        <x:f>IF(J194="","",IF(T194&lt;0,"EOL dépassée",IF(T194&lt;=180,"&lt; 6 mois",IF(T194&lt;=365,"&lt; 12 mois","OK"))))</x:f>
      </x:c>
    </x:row>
    <x:row r="195">
      <x:c r="A195" s="82"/>
      <x:c r="B195" s="82"/>
      <x:c r="C195" s="82"/>
      <x:c r="D195" s="82"/>
      <x:c r="E195" s="82"/>
      <x:c r="F195" s="82"/>
      <x:c r="G195" s="82"/>
      <x:c r="H195" s="82"/>
      <x:c r="I195" s="82"/>
      <x:c r="J195" s="110"/>
      <x:c r="K195" s="82"/>
      <x:c r="L195" s="82"/>
      <x:c r="M195" s="82"/>
      <x:c r="N195" s="82"/>
      <x:c r="O195" s="110"/>
      <x:c r="P195" s="82"/>
      <x:c r="Q195" s="82"/>
      <x:c r="R195" s="82"/>
      <x:c r="S195" s="82"/>
      <x:c r="T195" s="144" t="str">
        <x:f>IF(J195="","",J195-TODAY())</x:f>
      </x:c>
      <x:c r="U195" s="82" t="str">
        <x:f>IF(J195="","",IF(T195&lt;0,"EOL dépassée",IF(T195&lt;=180,"&lt; 6 mois",IF(T195&lt;=365,"&lt; 12 mois","OK"))))</x:f>
      </x:c>
    </x:row>
    <x:row r="196">
      <x:c r="A196" s="82"/>
      <x:c r="B196" s="82"/>
      <x:c r="C196" s="82"/>
      <x:c r="D196" s="82"/>
      <x:c r="E196" s="82"/>
      <x:c r="F196" s="82"/>
      <x:c r="G196" s="82"/>
      <x:c r="H196" s="82"/>
      <x:c r="I196" s="82"/>
      <x:c r="J196" s="110"/>
      <x:c r="K196" s="82"/>
      <x:c r="L196" s="82"/>
      <x:c r="M196" s="82"/>
      <x:c r="N196" s="82"/>
      <x:c r="O196" s="110"/>
      <x:c r="P196" s="82"/>
      <x:c r="Q196" s="82"/>
      <x:c r="R196" s="82"/>
      <x:c r="S196" s="82"/>
      <x:c r="T196" s="144" t="str">
        <x:f>IF(J196="","",J196-TODAY())</x:f>
      </x:c>
      <x:c r="U196" s="82" t="str">
        <x:f>IF(J196="","",IF(T196&lt;0,"EOL dépassée",IF(T196&lt;=180,"&lt; 6 mois",IF(T196&lt;=365,"&lt; 12 mois","OK"))))</x:f>
      </x:c>
    </x:row>
    <x:row r="197">
      <x:c r="A197" s="82"/>
      <x:c r="B197" s="82"/>
      <x:c r="C197" s="82"/>
      <x:c r="D197" s="82"/>
      <x:c r="E197" s="82"/>
      <x:c r="F197" s="82"/>
      <x:c r="G197" s="82"/>
      <x:c r="H197" s="82"/>
      <x:c r="I197" s="82"/>
      <x:c r="J197" s="110"/>
      <x:c r="K197" s="82"/>
      <x:c r="L197" s="82"/>
      <x:c r="M197" s="82"/>
      <x:c r="N197" s="82"/>
      <x:c r="O197" s="110"/>
      <x:c r="P197" s="82"/>
      <x:c r="Q197" s="82"/>
      <x:c r="R197" s="82"/>
      <x:c r="S197" s="82"/>
      <x:c r="T197" s="144" t="str">
        <x:f>IF(J197="","",J197-TODAY())</x:f>
      </x:c>
      <x:c r="U197" s="82" t="str">
        <x:f>IF(J197="","",IF(T197&lt;0,"EOL dépassée",IF(T197&lt;=180,"&lt; 6 mois",IF(T197&lt;=365,"&lt; 12 mois","OK"))))</x:f>
      </x:c>
    </x:row>
    <x:row r="198">
      <x:c r="A198" s="82"/>
      <x:c r="B198" s="82"/>
      <x:c r="C198" s="82"/>
      <x:c r="D198" s="82"/>
      <x:c r="E198" s="82"/>
      <x:c r="F198" s="82"/>
      <x:c r="G198" s="82"/>
      <x:c r="H198" s="82"/>
      <x:c r="I198" s="82"/>
      <x:c r="J198" s="110"/>
      <x:c r="K198" s="82"/>
      <x:c r="L198" s="82"/>
      <x:c r="M198" s="82"/>
      <x:c r="N198" s="82"/>
      <x:c r="O198" s="110"/>
      <x:c r="P198" s="82"/>
      <x:c r="Q198" s="82"/>
      <x:c r="R198" s="82"/>
      <x:c r="S198" s="82"/>
      <x:c r="T198" s="144" t="str">
        <x:f>IF(J198="","",J198-TODAY())</x:f>
      </x:c>
      <x:c r="U198" s="82" t="str">
        <x:f>IF(J198="","",IF(T198&lt;0,"EOL dépassée",IF(T198&lt;=180,"&lt; 6 mois",IF(T198&lt;=365,"&lt; 12 mois","OK"))))</x:f>
      </x:c>
    </x:row>
    <x:row r="199">
      <x:c r="A199" s="82"/>
      <x:c r="B199" s="82"/>
      <x:c r="C199" s="82"/>
      <x:c r="D199" s="82"/>
      <x:c r="E199" s="82"/>
      <x:c r="F199" s="82"/>
      <x:c r="G199" s="82"/>
      <x:c r="H199" s="82"/>
      <x:c r="I199" s="82"/>
      <x:c r="J199" s="110"/>
      <x:c r="K199" s="82"/>
      <x:c r="L199" s="82"/>
      <x:c r="M199" s="82"/>
      <x:c r="N199" s="82"/>
      <x:c r="O199" s="110"/>
      <x:c r="P199" s="82"/>
      <x:c r="Q199" s="82"/>
      <x:c r="R199" s="82"/>
      <x:c r="S199" s="82"/>
      <x:c r="T199" s="144" t="str">
        <x:f>IF(J199="","",J199-TODAY())</x:f>
      </x:c>
      <x:c r="U199" s="82" t="str">
        <x:f>IF(J199="","",IF(T199&lt;0,"EOL dépassée",IF(T199&lt;=180,"&lt; 6 mois",IF(T199&lt;=365,"&lt; 12 mois","OK"))))</x:f>
      </x:c>
    </x:row>
    <x:row r="200">
      <x:c r="A200" s="82"/>
      <x:c r="B200" s="82"/>
      <x:c r="C200" s="82"/>
      <x:c r="D200" s="82"/>
      <x:c r="E200" s="82"/>
      <x:c r="F200" s="82"/>
      <x:c r="G200" s="82"/>
      <x:c r="H200" s="82"/>
      <x:c r="I200" s="82"/>
      <x:c r="J200" s="110"/>
      <x:c r="K200" s="82"/>
      <x:c r="L200" s="82"/>
      <x:c r="M200" s="82"/>
      <x:c r="N200" s="82"/>
      <x:c r="O200" s="110"/>
      <x:c r="P200" s="82"/>
      <x:c r="Q200" s="82"/>
      <x:c r="R200" s="82"/>
      <x:c r="S200" s="82"/>
      <x:c r="T200" s="144" t="str">
        <x:f>IF(J200="","",J200-TODAY())</x:f>
      </x:c>
      <x:c r="U200" s="82" t="str">
        <x:f>IF(J200="","",IF(T200&lt;0,"EOL dépassée",IF(T200&lt;=180,"&lt; 6 mois",IF(T200&lt;=365,"&lt; 12 mois","OK"))))</x:f>
      </x:c>
    </x:row>
    <x:row r="201">
      <x:c r="A201" s="82"/>
      <x:c r="B201" s="82"/>
      <x:c r="C201" s="82"/>
      <x:c r="D201" s="82"/>
      <x:c r="E201" s="82"/>
      <x:c r="F201" s="82"/>
      <x:c r="G201" s="82"/>
      <x:c r="H201" s="82"/>
      <x:c r="I201" s="82"/>
      <x:c r="J201" s="110"/>
      <x:c r="K201" s="82"/>
      <x:c r="L201" s="82"/>
      <x:c r="M201" s="82"/>
      <x:c r="N201" s="82"/>
      <x:c r="O201" s="110"/>
      <x:c r="P201" s="82"/>
      <x:c r="Q201" s="82"/>
      <x:c r="R201" s="82"/>
      <x:c r="S201" s="82"/>
      <x:c r="T201" s="144" t="str">
        <x:f>IF(J201="","",J201-TODAY())</x:f>
      </x:c>
      <x:c r="U201" s="82" t="str">
        <x:f>IF(J201="","",IF(T201&lt;0,"EOL dépassée",IF(T201&lt;=180,"&lt; 6 mois",IF(T201&lt;=365,"&lt; 12 mois","OK"))))</x:f>
      </x:c>
    </x:row>
    <x:row r="202">
      <x:c r="A202" s="82"/>
      <x:c r="B202" s="82"/>
      <x:c r="C202" s="82"/>
      <x:c r="D202" s="82"/>
      <x:c r="E202" s="82"/>
      <x:c r="F202" s="82"/>
      <x:c r="G202" s="82"/>
      <x:c r="H202" s="82"/>
      <x:c r="I202" s="82"/>
      <x:c r="J202" s="110"/>
      <x:c r="K202" s="82"/>
      <x:c r="L202" s="82"/>
      <x:c r="M202" s="82"/>
      <x:c r="N202" s="82"/>
      <x:c r="O202" s="110"/>
      <x:c r="P202" s="82"/>
      <x:c r="Q202" s="82"/>
      <x:c r="R202" s="82"/>
      <x:c r="S202" s="82"/>
      <x:c r="T202" s="144" t="str">
        <x:f>IF(J202="","",J202-TODAY())</x:f>
      </x:c>
      <x:c r="U202" s="82" t="str">
        <x:f>IF(J202="","",IF(T202&lt;0,"EOL dépassée",IF(T202&lt;=180,"&lt; 6 mois",IF(T202&lt;=365,"&lt; 12 mois","OK"))))</x:f>
      </x:c>
    </x:row>
    <x:row r="203">
      <x:c r="A203" s="82"/>
      <x:c r="B203" s="82"/>
      <x:c r="C203" s="82"/>
      <x:c r="D203" s="82"/>
      <x:c r="E203" s="82"/>
      <x:c r="F203" s="82"/>
      <x:c r="G203" s="82"/>
      <x:c r="H203" s="82"/>
      <x:c r="I203" s="82"/>
      <x:c r="J203" s="110"/>
      <x:c r="K203" s="82"/>
      <x:c r="L203" s="82"/>
      <x:c r="M203" s="82"/>
      <x:c r="N203" s="82"/>
      <x:c r="O203" s="110"/>
      <x:c r="P203" s="82"/>
      <x:c r="Q203" s="82"/>
      <x:c r="R203" s="82"/>
      <x:c r="S203" s="82"/>
      <x:c r="T203" s="144" t="str">
        <x:f>IF(J203="","",J203-TODAY())</x:f>
      </x:c>
      <x:c r="U203" s="82" t="str">
        <x:f>IF(J203="","",IF(T203&lt;0,"EOL dépassée",IF(T203&lt;=180,"&lt; 6 mois",IF(T203&lt;=365,"&lt; 12 mois","OK"))))</x:f>
      </x:c>
    </x:row>
    <x:row r="204">
      <x:c r="A204" s="82"/>
      <x:c r="B204" s="82"/>
      <x:c r="C204" s="82"/>
      <x:c r="D204" s="82"/>
      <x:c r="E204" s="82"/>
      <x:c r="F204" s="82"/>
      <x:c r="G204" s="82"/>
      <x:c r="H204" s="82"/>
      <x:c r="I204" s="82"/>
      <x:c r="J204" s="110"/>
      <x:c r="K204" s="82"/>
      <x:c r="L204" s="82"/>
      <x:c r="M204" s="82"/>
      <x:c r="N204" s="82"/>
      <x:c r="O204" s="110"/>
      <x:c r="P204" s="82"/>
      <x:c r="Q204" s="82"/>
      <x:c r="R204" s="82"/>
      <x:c r="S204" s="82"/>
      <x:c r="T204" s="144" t="str">
        <x:f>IF(J204="","",J204-TODAY())</x:f>
      </x:c>
      <x:c r="U204" s="82" t="str">
        <x:f>IF(J204="","",IF(T204&lt;0,"EOL dépassée",IF(T204&lt;=180,"&lt; 6 mois",IF(T204&lt;=365,"&lt; 12 mois","OK"))))</x:f>
      </x:c>
    </x:row>
    <x:row r="205">
      <x:c r="A205" s="82"/>
      <x:c r="B205" s="82"/>
      <x:c r="C205" s="82"/>
      <x:c r="D205" s="82"/>
      <x:c r="E205" s="82"/>
      <x:c r="F205" s="82"/>
      <x:c r="G205" s="82"/>
      <x:c r="H205" s="82"/>
      <x:c r="I205" s="82"/>
      <x:c r="J205" s="110"/>
      <x:c r="K205" s="82"/>
      <x:c r="L205" s="82"/>
      <x:c r="M205" s="82"/>
      <x:c r="N205" s="82"/>
      <x:c r="O205" s="110"/>
      <x:c r="P205" s="82"/>
      <x:c r="Q205" s="82"/>
      <x:c r="R205" s="82"/>
      <x:c r="S205" s="82"/>
      <x:c r="T205" s="144" t="str">
        <x:f>IF(J205="","",J205-TODAY())</x:f>
      </x:c>
      <x:c r="U205" s="82" t="str">
        <x:f>IF(J205="","",IF(T205&lt;0,"EOL dépassée",IF(T205&lt;=180,"&lt; 6 mois",IF(T205&lt;=365,"&lt; 12 mois","OK"))))</x:f>
      </x:c>
    </x:row>
    <x:row r="206">
      <x:c r="A206" s="82"/>
      <x:c r="B206" s="82"/>
      <x:c r="C206" s="82"/>
      <x:c r="D206" s="82"/>
      <x:c r="E206" s="82"/>
      <x:c r="F206" s="82"/>
      <x:c r="G206" s="82"/>
      <x:c r="H206" s="82"/>
      <x:c r="I206" s="82"/>
      <x:c r="J206" s="110"/>
      <x:c r="K206" s="82"/>
      <x:c r="L206" s="82"/>
      <x:c r="M206" s="82"/>
      <x:c r="N206" s="82"/>
      <x:c r="O206" s="110"/>
      <x:c r="P206" s="82"/>
      <x:c r="Q206" s="82"/>
      <x:c r="R206" s="82"/>
      <x:c r="S206" s="82"/>
      <x:c r="T206" s="144" t="str">
        <x:f>IF(J206="","",J206-TODAY())</x:f>
      </x:c>
      <x:c r="U206" s="82" t="str">
        <x:f>IF(J206="","",IF(T206&lt;0,"EOL dépassée",IF(T206&lt;=180,"&lt; 6 mois",IF(T206&lt;=365,"&lt; 12 mois","OK"))))</x:f>
      </x:c>
    </x:row>
    <x:row r="207">
      <x:c r="A207" s="82"/>
      <x:c r="B207" s="82"/>
      <x:c r="C207" s="82"/>
      <x:c r="D207" s="82"/>
      <x:c r="E207" s="82"/>
      <x:c r="F207" s="82"/>
      <x:c r="G207" s="82"/>
      <x:c r="H207" s="82"/>
      <x:c r="I207" s="82"/>
      <x:c r="J207" s="110"/>
      <x:c r="K207" s="82"/>
      <x:c r="L207" s="82"/>
      <x:c r="M207" s="82"/>
      <x:c r="N207" s="82"/>
      <x:c r="O207" s="110"/>
      <x:c r="P207" s="82"/>
      <x:c r="Q207" s="82"/>
      <x:c r="R207" s="82"/>
      <x:c r="S207" s="82"/>
      <x:c r="T207" s="144" t="str">
        <x:f>IF(J207="","",J207-TODAY())</x:f>
      </x:c>
      <x:c r="U207" s="82" t="str">
        <x:f>IF(J207="","",IF(T207&lt;0,"EOL dépassée",IF(T207&lt;=180,"&lt; 6 mois",IF(T207&lt;=365,"&lt; 12 mois","OK"))))</x:f>
      </x:c>
    </x:row>
    <x:row r="208">
      <x:c r="A208" s="82"/>
      <x:c r="B208" s="82"/>
      <x:c r="C208" s="82"/>
      <x:c r="D208" s="82"/>
      <x:c r="E208" s="82"/>
      <x:c r="F208" s="82"/>
      <x:c r="G208" s="82"/>
      <x:c r="H208" s="82"/>
      <x:c r="I208" s="82"/>
      <x:c r="J208" s="110"/>
      <x:c r="K208" s="82"/>
      <x:c r="L208" s="82"/>
      <x:c r="M208" s="82"/>
      <x:c r="N208" s="82"/>
      <x:c r="O208" s="110"/>
      <x:c r="P208" s="82"/>
      <x:c r="Q208" s="82"/>
      <x:c r="R208" s="82"/>
      <x:c r="S208" s="82"/>
      <x:c r="T208" s="144" t="str">
        <x:f>IF(J208="","",J208-TODAY())</x:f>
      </x:c>
      <x:c r="U208" s="82" t="str">
        <x:f>IF(J208="","",IF(T208&lt;0,"EOL dépassée",IF(T208&lt;=180,"&lt; 6 mois",IF(T208&lt;=365,"&lt; 12 mois","OK"))))</x:f>
      </x:c>
    </x:row>
    <x:row r="209">
      <x:c r="A209" s="82"/>
      <x:c r="B209" s="82"/>
      <x:c r="C209" s="82"/>
      <x:c r="D209" s="82"/>
      <x:c r="E209" s="82"/>
      <x:c r="F209" s="82"/>
      <x:c r="G209" s="82"/>
      <x:c r="H209" s="82"/>
      <x:c r="I209" s="82"/>
      <x:c r="J209" s="110"/>
      <x:c r="K209" s="82"/>
      <x:c r="L209" s="82"/>
      <x:c r="M209" s="82"/>
      <x:c r="N209" s="82"/>
      <x:c r="O209" s="110"/>
      <x:c r="P209" s="82"/>
      <x:c r="Q209" s="82"/>
      <x:c r="R209" s="82"/>
      <x:c r="S209" s="82"/>
      <x:c r="T209" s="144" t="str">
        <x:f>IF(J209="","",J209-TODAY())</x:f>
      </x:c>
      <x:c r="U209" s="82" t="str">
        <x:f>IF(J209="","",IF(T209&lt;0,"EOL dépassée",IF(T209&lt;=180,"&lt; 6 mois",IF(T209&lt;=365,"&lt; 12 mois","OK"))))</x:f>
      </x:c>
    </x:row>
    <x:row r="210">
      <x:c r="A210" s="82"/>
      <x:c r="B210" s="82"/>
      <x:c r="C210" s="82"/>
      <x:c r="D210" s="82"/>
      <x:c r="E210" s="82"/>
      <x:c r="F210" s="82"/>
      <x:c r="G210" s="82"/>
      <x:c r="H210" s="82"/>
      <x:c r="I210" s="82"/>
      <x:c r="J210" s="110"/>
      <x:c r="K210" s="82"/>
      <x:c r="L210" s="82"/>
      <x:c r="M210" s="82"/>
      <x:c r="N210" s="82"/>
      <x:c r="O210" s="110"/>
      <x:c r="P210" s="82"/>
      <x:c r="Q210" s="82"/>
      <x:c r="R210" s="82"/>
      <x:c r="S210" s="82"/>
      <x:c r="T210" s="144" t="str">
        <x:f>IF(J210="","",J210-TODAY())</x:f>
      </x:c>
      <x:c r="U210" s="82" t="str">
        <x:f>IF(J210="","",IF(T210&lt;0,"EOL dépassée",IF(T210&lt;=180,"&lt; 6 mois",IF(T210&lt;=365,"&lt; 12 mois","OK"))))</x:f>
      </x:c>
    </x:row>
    <x:row r="211">
      <x:c r="A211" s="82"/>
      <x:c r="B211" s="82"/>
      <x:c r="C211" s="82"/>
      <x:c r="D211" s="82"/>
      <x:c r="E211" s="82"/>
      <x:c r="F211" s="82"/>
      <x:c r="G211" s="82"/>
      <x:c r="H211" s="82"/>
      <x:c r="I211" s="82"/>
      <x:c r="J211" s="110"/>
      <x:c r="K211" s="82"/>
      <x:c r="L211" s="82"/>
      <x:c r="M211" s="82"/>
      <x:c r="N211" s="82"/>
      <x:c r="O211" s="110"/>
      <x:c r="P211" s="82"/>
      <x:c r="Q211" s="82"/>
      <x:c r="R211" s="82"/>
      <x:c r="S211" s="82"/>
      <x:c r="T211" s="144" t="str">
        <x:f>IF(J211="","",J211-TODAY())</x:f>
      </x:c>
      <x:c r="U211" s="82" t="str">
        <x:f>IF(J211="","",IF(T211&lt;0,"EOL dépassée",IF(T211&lt;=180,"&lt; 6 mois",IF(T211&lt;=365,"&lt; 12 mois","OK"))))</x:f>
      </x:c>
    </x:row>
    <x:row r="212">
      <x:c r="A212" s="82"/>
      <x:c r="B212" s="82"/>
      <x:c r="C212" s="82"/>
      <x:c r="D212" s="82"/>
      <x:c r="E212" s="82"/>
      <x:c r="F212" s="82"/>
      <x:c r="G212" s="82"/>
      <x:c r="H212" s="82"/>
      <x:c r="I212" s="82"/>
      <x:c r="J212" s="110"/>
      <x:c r="K212" s="82"/>
      <x:c r="L212" s="82"/>
      <x:c r="M212" s="82"/>
      <x:c r="N212" s="82"/>
      <x:c r="O212" s="110"/>
      <x:c r="P212" s="82"/>
      <x:c r="Q212" s="82"/>
      <x:c r="R212" s="82"/>
      <x:c r="S212" s="82"/>
      <x:c r="T212" s="144" t="str">
        <x:f>IF(J212="","",J212-TODAY())</x:f>
      </x:c>
      <x:c r="U212" s="82" t="str">
        <x:f>IF(J212="","",IF(T212&lt;0,"EOL dépassée",IF(T212&lt;=180,"&lt; 6 mois",IF(T212&lt;=365,"&lt; 12 mois","OK"))))</x:f>
      </x:c>
    </x:row>
    <x:row r="213">
      <x:c r="A213" s="82"/>
      <x:c r="B213" s="82"/>
      <x:c r="C213" s="82"/>
      <x:c r="D213" s="82"/>
      <x:c r="E213" s="82"/>
      <x:c r="F213" s="82"/>
      <x:c r="G213" s="82"/>
      <x:c r="H213" s="82"/>
      <x:c r="I213" s="82"/>
      <x:c r="J213" s="110"/>
      <x:c r="K213" s="82"/>
      <x:c r="L213" s="82"/>
      <x:c r="M213" s="82"/>
      <x:c r="N213" s="82"/>
      <x:c r="O213" s="110"/>
      <x:c r="P213" s="82"/>
      <x:c r="Q213" s="82"/>
      <x:c r="R213" s="82"/>
      <x:c r="S213" s="82"/>
      <x:c r="T213" s="144" t="str">
        <x:f>IF(J213="","",J213-TODAY())</x:f>
      </x:c>
      <x:c r="U213" s="82" t="str">
        <x:f>IF(J213="","",IF(T213&lt;0,"EOL dépassée",IF(T213&lt;=180,"&lt; 6 mois",IF(T213&lt;=365,"&lt; 12 mois","OK"))))</x:f>
      </x:c>
    </x:row>
    <x:row r="214">
      <x:c r="A214" s="82"/>
      <x:c r="B214" s="82"/>
      <x:c r="C214" s="82"/>
      <x:c r="D214" s="82"/>
      <x:c r="E214" s="82"/>
      <x:c r="F214" s="82"/>
      <x:c r="G214" s="82"/>
      <x:c r="H214" s="82"/>
      <x:c r="I214" s="82"/>
      <x:c r="J214" s="110"/>
      <x:c r="K214" s="82"/>
      <x:c r="L214" s="82"/>
      <x:c r="M214" s="82"/>
      <x:c r="N214" s="82"/>
      <x:c r="O214" s="110"/>
      <x:c r="P214" s="82"/>
      <x:c r="Q214" s="82"/>
      <x:c r="R214" s="82"/>
      <x:c r="S214" s="82"/>
      <x:c r="T214" s="144" t="str">
        <x:f>IF(J214="","",J214-TODAY())</x:f>
      </x:c>
      <x:c r="U214" s="82" t="str">
        <x:f>IF(J214="","",IF(T214&lt;0,"EOL dépassée",IF(T214&lt;=180,"&lt; 6 mois",IF(T214&lt;=365,"&lt; 12 mois","OK"))))</x:f>
      </x:c>
    </x:row>
    <x:row r="215">
      <x:c r="A215" s="82"/>
      <x:c r="B215" s="82"/>
      <x:c r="C215" s="82"/>
      <x:c r="D215" s="82"/>
      <x:c r="E215" s="82"/>
      <x:c r="F215" s="82"/>
      <x:c r="G215" s="82"/>
      <x:c r="H215" s="82"/>
      <x:c r="I215" s="82"/>
      <x:c r="J215" s="110"/>
      <x:c r="K215" s="82"/>
      <x:c r="L215" s="82"/>
      <x:c r="M215" s="82"/>
      <x:c r="N215" s="82"/>
      <x:c r="O215" s="110"/>
      <x:c r="P215" s="82"/>
      <x:c r="Q215" s="82"/>
      <x:c r="R215" s="82"/>
      <x:c r="S215" s="82"/>
      <x:c r="T215" s="144" t="str">
        <x:f>IF(J215="","",J215-TODAY())</x:f>
      </x:c>
      <x:c r="U215" s="82" t="str">
        <x:f>IF(J215="","",IF(T215&lt;0,"EOL dépassée",IF(T215&lt;=180,"&lt; 6 mois",IF(T215&lt;=365,"&lt; 12 mois","OK"))))</x:f>
      </x:c>
    </x:row>
    <x:row r="216">
      <x:c r="A216" s="82"/>
      <x:c r="B216" s="82"/>
      <x:c r="C216" s="82"/>
      <x:c r="D216" s="82"/>
      <x:c r="E216" s="82"/>
      <x:c r="F216" s="82"/>
      <x:c r="G216" s="82"/>
      <x:c r="H216" s="82"/>
      <x:c r="I216" s="82"/>
      <x:c r="J216" s="110"/>
      <x:c r="K216" s="82"/>
      <x:c r="L216" s="82"/>
      <x:c r="M216" s="82"/>
      <x:c r="N216" s="82"/>
      <x:c r="O216" s="110"/>
      <x:c r="P216" s="82"/>
      <x:c r="Q216" s="82"/>
      <x:c r="R216" s="82"/>
      <x:c r="S216" s="82"/>
      <x:c r="T216" s="144" t="str">
        <x:f>IF(J216="","",J216-TODAY())</x:f>
      </x:c>
      <x:c r="U216" s="82" t="str">
        <x:f>IF(J216="","",IF(T216&lt;0,"EOL dépassée",IF(T216&lt;=180,"&lt; 6 mois",IF(T216&lt;=365,"&lt; 12 mois","OK"))))</x:f>
      </x:c>
    </x:row>
    <x:row r="217">
      <x:c r="A217" s="82"/>
      <x:c r="B217" s="82"/>
      <x:c r="C217" s="82"/>
      <x:c r="D217" s="82"/>
      <x:c r="E217" s="82"/>
      <x:c r="F217" s="82"/>
      <x:c r="G217" s="82"/>
      <x:c r="H217" s="82"/>
      <x:c r="I217" s="82"/>
      <x:c r="J217" s="110"/>
      <x:c r="K217" s="82"/>
      <x:c r="L217" s="82"/>
      <x:c r="M217" s="82"/>
      <x:c r="N217" s="82"/>
      <x:c r="O217" s="110"/>
      <x:c r="P217" s="82"/>
      <x:c r="Q217" s="82"/>
      <x:c r="R217" s="82"/>
      <x:c r="S217" s="82"/>
      <x:c r="T217" s="144" t="str">
        <x:f>IF(J217="","",J217-TODAY())</x:f>
      </x:c>
      <x:c r="U217" s="82" t="str">
        <x:f>IF(J217="","",IF(T217&lt;0,"EOL dépassée",IF(T217&lt;=180,"&lt; 6 mois",IF(T217&lt;=365,"&lt; 12 mois","OK"))))</x:f>
      </x:c>
    </x:row>
    <x:row r="218">
      <x:c r="A218" s="82"/>
      <x:c r="B218" s="82"/>
      <x:c r="C218" s="82"/>
      <x:c r="D218" s="82"/>
      <x:c r="E218" s="82"/>
      <x:c r="F218" s="82"/>
      <x:c r="G218" s="82"/>
      <x:c r="H218" s="82"/>
      <x:c r="I218" s="82"/>
      <x:c r="J218" s="110"/>
      <x:c r="K218" s="82"/>
      <x:c r="L218" s="82"/>
      <x:c r="M218" s="82"/>
      <x:c r="N218" s="82"/>
      <x:c r="O218" s="110"/>
      <x:c r="P218" s="82"/>
      <x:c r="Q218" s="82"/>
      <x:c r="R218" s="82"/>
      <x:c r="S218" s="82"/>
      <x:c r="T218" s="144" t="str">
        <x:f>IF(J218="","",J218-TODAY())</x:f>
      </x:c>
      <x:c r="U218" s="82" t="str">
        <x:f>IF(J218="","",IF(T218&lt;0,"EOL dépassée",IF(T218&lt;=180,"&lt; 6 mois",IF(T218&lt;=365,"&lt; 12 mois","OK"))))</x:f>
      </x:c>
    </x:row>
    <x:row r="219">
      <x:c r="A219" s="82"/>
      <x:c r="B219" s="82"/>
      <x:c r="C219" s="82"/>
      <x:c r="D219" s="82"/>
      <x:c r="E219" s="82"/>
      <x:c r="F219" s="82"/>
      <x:c r="G219" s="82"/>
      <x:c r="H219" s="82"/>
      <x:c r="I219" s="82"/>
      <x:c r="J219" s="110"/>
      <x:c r="K219" s="82"/>
      <x:c r="L219" s="82"/>
      <x:c r="M219" s="82"/>
      <x:c r="N219" s="82"/>
      <x:c r="O219" s="110"/>
      <x:c r="P219" s="82"/>
      <x:c r="Q219" s="82"/>
      <x:c r="R219" s="82"/>
      <x:c r="S219" s="82"/>
      <x:c r="T219" s="144" t="str">
        <x:f>IF(J219="","",J219-TODAY())</x:f>
      </x:c>
      <x:c r="U219" s="82" t="str">
        <x:f>IF(J219="","",IF(T219&lt;0,"EOL dépassée",IF(T219&lt;=180,"&lt; 6 mois",IF(T219&lt;=365,"&lt; 12 mois","OK"))))</x:f>
      </x:c>
    </x:row>
    <x:row r="220">
      <x:c r="A220" s="82"/>
      <x:c r="B220" s="82"/>
      <x:c r="C220" s="82"/>
      <x:c r="D220" s="82"/>
      <x:c r="E220" s="82"/>
      <x:c r="F220" s="82"/>
      <x:c r="G220" s="82"/>
      <x:c r="H220" s="82"/>
      <x:c r="I220" s="82"/>
      <x:c r="J220" s="110"/>
      <x:c r="K220" s="82"/>
      <x:c r="L220" s="82"/>
      <x:c r="M220" s="82"/>
      <x:c r="N220" s="82"/>
      <x:c r="O220" s="110"/>
      <x:c r="P220" s="82"/>
      <x:c r="Q220" s="82"/>
      <x:c r="R220" s="82"/>
      <x:c r="S220" s="82"/>
      <x:c r="T220" s="144" t="str">
        <x:f>IF(J220="","",J220-TODAY())</x:f>
      </x:c>
      <x:c r="U220" s="82" t="str">
        <x:f>IF(J220="","",IF(T220&lt;0,"EOL dépassée",IF(T220&lt;=180,"&lt; 6 mois",IF(T220&lt;=365,"&lt; 12 mois","OK"))))</x:f>
      </x:c>
    </x:row>
    <x:row r="221">
      <x:c r="A221" s="82"/>
      <x:c r="B221" s="82"/>
      <x:c r="C221" s="82"/>
      <x:c r="D221" s="82"/>
      <x:c r="E221" s="82"/>
      <x:c r="F221" s="82"/>
      <x:c r="G221" s="82"/>
      <x:c r="H221" s="82"/>
      <x:c r="I221" s="82"/>
      <x:c r="J221" s="110"/>
      <x:c r="K221" s="82"/>
      <x:c r="L221" s="82"/>
      <x:c r="M221" s="82"/>
      <x:c r="N221" s="82"/>
      <x:c r="O221" s="110"/>
      <x:c r="P221" s="82"/>
      <x:c r="Q221" s="82"/>
      <x:c r="R221" s="82"/>
      <x:c r="S221" s="82"/>
      <x:c r="T221" s="144" t="str">
        <x:f>IF(J221="","",J221-TODAY())</x:f>
      </x:c>
      <x:c r="U221" s="82" t="str">
        <x:f>IF(J221="","",IF(T221&lt;0,"EOL dépassée",IF(T221&lt;=180,"&lt; 6 mois",IF(T221&lt;=365,"&lt; 12 mois","OK"))))</x:f>
      </x:c>
    </x:row>
    <x:row r="222">
      <x:c r="A222" s="82"/>
      <x:c r="B222" s="82"/>
      <x:c r="C222" s="82"/>
      <x:c r="D222" s="82"/>
      <x:c r="E222" s="82"/>
      <x:c r="F222" s="82"/>
      <x:c r="G222" s="82"/>
      <x:c r="H222" s="82"/>
      <x:c r="I222" s="82"/>
      <x:c r="J222" s="110"/>
      <x:c r="K222" s="82"/>
      <x:c r="L222" s="82"/>
      <x:c r="M222" s="82"/>
      <x:c r="N222" s="82"/>
      <x:c r="O222" s="110"/>
      <x:c r="P222" s="82"/>
      <x:c r="Q222" s="82"/>
      <x:c r="R222" s="82"/>
      <x:c r="S222" s="82"/>
      <x:c r="T222" s="144" t="str">
        <x:f>IF(J222="","",J222-TODAY())</x:f>
      </x:c>
      <x:c r="U222" s="82" t="str">
        <x:f>IF(J222="","",IF(T222&lt;0,"EOL dépassée",IF(T222&lt;=180,"&lt; 6 mois",IF(T222&lt;=365,"&lt; 12 mois","OK"))))</x:f>
      </x:c>
    </x:row>
    <x:row r="223">
      <x:c r="A223" s="82"/>
      <x:c r="B223" s="82"/>
      <x:c r="C223" s="82"/>
      <x:c r="D223" s="82"/>
      <x:c r="E223" s="82"/>
      <x:c r="F223" s="82"/>
      <x:c r="G223" s="82"/>
      <x:c r="H223" s="82"/>
      <x:c r="I223" s="82"/>
      <x:c r="J223" s="110"/>
      <x:c r="K223" s="82"/>
      <x:c r="L223" s="82"/>
      <x:c r="M223" s="82"/>
      <x:c r="N223" s="82"/>
      <x:c r="O223" s="110"/>
      <x:c r="P223" s="82"/>
      <x:c r="Q223" s="82"/>
      <x:c r="R223" s="82"/>
      <x:c r="S223" s="82"/>
      <x:c r="T223" s="144" t="str">
        <x:f>IF(J223="","",J223-TODAY())</x:f>
      </x:c>
      <x:c r="U223" s="82" t="str">
        <x:f>IF(J223="","",IF(T223&lt;0,"EOL dépassée",IF(T223&lt;=180,"&lt; 6 mois",IF(T223&lt;=365,"&lt; 12 mois","OK"))))</x:f>
      </x:c>
    </x:row>
    <x:row r="224">
      <x:c r="A224" s="82"/>
      <x:c r="B224" s="82"/>
      <x:c r="C224" s="82"/>
      <x:c r="D224" s="82"/>
      <x:c r="E224" s="82"/>
      <x:c r="F224" s="82"/>
      <x:c r="G224" s="82"/>
      <x:c r="H224" s="82"/>
      <x:c r="I224" s="82"/>
      <x:c r="J224" s="110"/>
      <x:c r="K224" s="82"/>
      <x:c r="L224" s="82"/>
      <x:c r="M224" s="82"/>
      <x:c r="N224" s="82"/>
      <x:c r="O224" s="110"/>
      <x:c r="P224" s="82"/>
      <x:c r="Q224" s="82"/>
      <x:c r="R224" s="82"/>
      <x:c r="S224" s="82"/>
      <x:c r="T224" s="144" t="str">
        <x:f>IF(J224="","",J224-TODAY())</x:f>
      </x:c>
      <x:c r="U224" s="82" t="str">
        <x:f>IF(J224="","",IF(T224&lt;0,"EOL dépassée",IF(T224&lt;=180,"&lt; 6 mois",IF(T224&lt;=365,"&lt; 12 mois","OK"))))</x:f>
      </x:c>
    </x:row>
    <x:row r="225">
      <x:c r="A225" s="82"/>
      <x:c r="B225" s="82"/>
      <x:c r="C225" s="82"/>
      <x:c r="D225" s="82"/>
      <x:c r="E225" s="82"/>
      <x:c r="F225" s="82"/>
      <x:c r="G225" s="82"/>
      <x:c r="H225" s="82"/>
      <x:c r="I225" s="82"/>
      <x:c r="J225" s="110"/>
      <x:c r="K225" s="82"/>
      <x:c r="L225" s="82"/>
      <x:c r="M225" s="82"/>
      <x:c r="N225" s="82"/>
      <x:c r="O225" s="110"/>
      <x:c r="P225" s="82"/>
      <x:c r="Q225" s="82"/>
      <x:c r="R225" s="82"/>
      <x:c r="S225" s="82"/>
      <x:c r="T225" s="144" t="str">
        <x:f>IF(J225="","",J225-TODAY())</x:f>
      </x:c>
      <x:c r="U225" s="82" t="str">
        <x:f>IF(J225="","",IF(T225&lt;0,"EOL dépassée",IF(T225&lt;=180,"&lt; 6 mois",IF(T225&lt;=365,"&lt; 12 mois","OK"))))</x:f>
      </x:c>
    </x:row>
    <x:row r="226">
      <x:c r="A226" s="82"/>
      <x:c r="B226" s="82"/>
      <x:c r="C226" s="82"/>
      <x:c r="D226" s="82"/>
      <x:c r="E226" s="82"/>
      <x:c r="F226" s="82"/>
      <x:c r="G226" s="82"/>
      <x:c r="H226" s="82"/>
      <x:c r="I226" s="82"/>
      <x:c r="J226" s="110"/>
      <x:c r="K226" s="82"/>
      <x:c r="L226" s="82"/>
      <x:c r="M226" s="82"/>
      <x:c r="N226" s="82"/>
      <x:c r="O226" s="110"/>
      <x:c r="P226" s="82"/>
      <x:c r="Q226" s="82"/>
      <x:c r="R226" s="82"/>
      <x:c r="S226" s="82"/>
      <x:c r="T226" s="144" t="str">
        <x:f>IF(J226="","",J226-TODAY())</x:f>
      </x:c>
      <x:c r="U226" s="82" t="str">
        <x:f>IF(J226="","",IF(T226&lt;0,"EOL dépassée",IF(T226&lt;=180,"&lt; 6 mois",IF(T226&lt;=365,"&lt; 12 mois","OK"))))</x:f>
      </x:c>
    </x:row>
    <x:row r="227">
      <x:c r="A227" s="82"/>
      <x:c r="B227" s="82"/>
      <x:c r="C227" s="82"/>
      <x:c r="D227" s="82"/>
      <x:c r="E227" s="82"/>
      <x:c r="F227" s="82"/>
      <x:c r="G227" s="82"/>
      <x:c r="H227" s="82"/>
      <x:c r="I227" s="82"/>
      <x:c r="J227" s="110"/>
      <x:c r="K227" s="82"/>
      <x:c r="L227" s="82"/>
      <x:c r="M227" s="82"/>
      <x:c r="N227" s="82"/>
      <x:c r="O227" s="110"/>
      <x:c r="P227" s="82"/>
      <x:c r="Q227" s="82"/>
      <x:c r="R227" s="82"/>
      <x:c r="S227" s="82"/>
      <x:c r="T227" s="144" t="str">
        <x:f>IF(J227="","",J227-TODAY())</x:f>
      </x:c>
      <x:c r="U227" s="82" t="str">
        <x:f>IF(J227="","",IF(T227&lt;0,"EOL dépassée",IF(T227&lt;=180,"&lt; 6 mois",IF(T227&lt;=365,"&lt; 12 mois","OK"))))</x:f>
      </x:c>
    </x:row>
    <x:row r="228">
      <x:c r="A228" s="82"/>
      <x:c r="B228" s="82"/>
      <x:c r="C228" s="82"/>
      <x:c r="D228" s="82"/>
      <x:c r="E228" s="82"/>
      <x:c r="F228" s="82"/>
      <x:c r="G228" s="82"/>
      <x:c r="H228" s="82"/>
      <x:c r="I228" s="82"/>
      <x:c r="J228" s="110"/>
      <x:c r="K228" s="82"/>
      <x:c r="L228" s="82"/>
      <x:c r="M228" s="82"/>
      <x:c r="N228" s="82"/>
      <x:c r="O228" s="110"/>
      <x:c r="P228" s="82"/>
      <x:c r="Q228" s="82"/>
      <x:c r="R228" s="82"/>
      <x:c r="S228" s="82"/>
      <x:c r="T228" s="144" t="str">
        <x:f>IF(J228="","",J228-TODAY())</x:f>
      </x:c>
      <x:c r="U228" s="82" t="str">
        <x:f>IF(J228="","",IF(T228&lt;0,"EOL dépassée",IF(T228&lt;=180,"&lt; 6 mois",IF(T228&lt;=365,"&lt; 12 mois","OK"))))</x:f>
      </x:c>
    </x:row>
    <x:row r="229">
      <x:c r="A229" s="82"/>
      <x:c r="B229" s="82"/>
      <x:c r="C229" s="82"/>
      <x:c r="D229" s="82"/>
      <x:c r="E229" s="82"/>
      <x:c r="F229" s="82"/>
      <x:c r="G229" s="82"/>
      <x:c r="H229" s="82"/>
      <x:c r="I229" s="82"/>
      <x:c r="J229" s="110"/>
      <x:c r="K229" s="82"/>
      <x:c r="L229" s="82"/>
      <x:c r="M229" s="82"/>
      <x:c r="N229" s="82"/>
      <x:c r="O229" s="110"/>
      <x:c r="P229" s="82"/>
      <x:c r="Q229" s="82"/>
      <x:c r="R229" s="82"/>
      <x:c r="S229" s="82"/>
      <x:c r="T229" s="144" t="str">
        <x:f>IF(J229="","",J229-TODAY())</x:f>
      </x:c>
      <x:c r="U229" s="82" t="str">
        <x:f>IF(J229="","",IF(T229&lt;0,"EOL dépassée",IF(T229&lt;=180,"&lt; 6 mois",IF(T229&lt;=365,"&lt; 12 mois","OK"))))</x:f>
      </x:c>
    </x:row>
    <x:row r="230">
      <x:c r="A230" s="82"/>
      <x:c r="B230" s="82"/>
      <x:c r="C230" s="82"/>
      <x:c r="D230" s="82"/>
      <x:c r="E230" s="82"/>
      <x:c r="F230" s="82"/>
      <x:c r="G230" s="82"/>
      <x:c r="H230" s="82"/>
      <x:c r="I230" s="82"/>
      <x:c r="J230" s="110"/>
      <x:c r="K230" s="82"/>
      <x:c r="L230" s="82"/>
      <x:c r="M230" s="82"/>
      <x:c r="N230" s="82"/>
      <x:c r="O230" s="110"/>
      <x:c r="P230" s="82"/>
      <x:c r="Q230" s="82"/>
      <x:c r="R230" s="82"/>
      <x:c r="S230" s="82"/>
      <x:c r="T230" s="144" t="str">
        <x:f>IF(J230="","",J230-TODAY())</x:f>
      </x:c>
      <x:c r="U230" s="82" t="str">
        <x:f>IF(J230="","",IF(T230&lt;0,"EOL dépassée",IF(T230&lt;=180,"&lt; 6 mois",IF(T230&lt;=365,"&lt; 12 mois","OK"))))</x:f>
      </x:c>
    </x:row>
    <x:row r="231">
      <x:c r="A231" s="82"/>
      <x:c r="B231" s="82"/>
      <x:c r="C231" s="82"/>
      <x:c r="D231" s="82"/>
      <x:c r="E231" s="82"/>
      <x:c r="F231" s="82"/>
      <x:c r="G231" s="82"/>
      <x:c r="H231" s="82"/>
      <x:c r="I231" s="82"/>
      <x:c r="J231" s="110"/>
      <x:c r="K231" s="82"/>
      <x:c r="L231" s="82"/>
      <x:c r="M231" s="82"/>
      <x:c r="N231" s="82"/>
      <x:c r="O231" s="110"/>
      <x:c r="P231" s="82"/>
      <x:c r="Q231" s="82"/>
      <x:c r="R231" s="82"/>
      <x:c r="S231" s="82"/>
      <x:c r="T231" s="144" t="str">
        <x:f>IF(J231="","",J231-TODAY())</x:f>
      </x:c>
      <x:c r="U231" s="82" t="str">
        <x:f>IF(J231="","",IF(T231&lt;0,"EOL dépassée",IF(T231&lt;=180,"&lt; 6 mois",IF(T231&lt;=365,"&lt; 12 mois","OK"))))</x:f>
      </x:c>
    </x:row>
    <x:row r="232">
      <x:c r="A232" s="82"/>
      <x:c r="B232" s="82"/>
      <x:c r="C232" s="82"/>
      <x:c r="D232" s="82"/>
      <x:c r="E232" s="82"/>
      <x:c r="F232" s="82"/>
      <x:c r="G232" s="82"/>
      <x:c r="H232" s="82"/>
      <x:c r="I232" s="82"/>
      <x:c r="J232" s="110"/>
      <x:c r="K232" s="82"/>
      <x:c r="L232" s="82"/>
      <x:c r="M232" s="82"/>
      <x:c r="N232" s="82"/>
      <x:c r="O232" s="110"/>
      <x:c r="P232" s="82"/>
      <x:c r="Q232" s="82"/>
      <x:c r="R232" s="82"/>
      <x:c r="S232" s="82"/>
      <x:c r="T232" s="144" t="str">
        <x:f>IF(J232="","",J232-TODAY())</x:f>
      </x:c>
      <x:c r="U232" s="82" t="str">
        <x:f>IF(J232="","",IF(T232&lt;0,"EOL dépassée",IF(T232&lt;=180,"&lt; 6 mois",IF(T232&lt;=365,"&lt; 12 mois","OK"))))</x:f>
      </x:c>
    </x:row>
    <x:row r="233">
      <x:c r="A233" s="82"/>
      <x:c r="B233" s="82"/>
      <x:c r="C233" s="82"/>
      <x:c r="D233" s="82"/>
      <x:c r="E233" s="82"/>
      <x:c r="F233" s="82"/>
      <x:c r="G233" s="82"/>
      <x:c r="H233" s="82"/>
      <x:c r="I233" s="82"/>
      <x:c r="J233" s="110"/>
      <x:c r="K233" s="82"/>
      <x:c r="L233" s="82"/>
      <x:c r="M233" s="82"/>
      <x:c r="N233" s="82"/>
      <x:c r="O233" s="110"/>
      <x:c r="P233" s="82"/>
      <x:c r="Q233" s="82"/>
      <x:c r="R233" s="82"/>
      <x:c r="S233" s="82"/>
      <x:c r="T233" s="144" t="str">
        <x:f>IF(J233="","",J233-TODAY())</x:f>
      </x:c>
      <x:c r="U233" s="82" t="str">
        <x:f>IF(J233="","",IF(T233&lt;0,"EOL dépassée",IF(T233&lt;=180,"&lt; 6 mois",IF(T233&lt;=365,"&lt; 12 mois","OK"))))</x:f>
      </x:c>
    </x:row>
    <x:row r="234">
      <x:c r="A234" s="82"/>
      <x:c r="B234" s="82"/>
      <x:c r="C234" s="82"/>
      <x:c r="D234" s="82"/>
      <x:c r="E234" s="82"/>
      <x:c r="F234" s="82"/>
      <x:c r="G234" s="82"/>
      <x:c r="H234" s="82"/>
      <x:c r="I234" s="82"/>
      <x:c r="J234" s="110"/>
      <x:c r="K234" s="82"/>
      <x:c r="L234" s="82"/>
      <x:c r="M234" s="82"/>
      <x:c r="N234" s="82"/>
      <x:c r="O234" s="110"/>
      <x:c r="P234" s="82"/>
      <x:c r="Q234" s="82"/>
      <x:c r="R234" s="82"/>
      <x:c r="S234" s="82"/>
      <x:c r="T234" s="144" t="str">
        <x:f>IF(J234="","",J234-TODAY())</x:f>
      </x:c>
      <x:c r="U234" s="82" t="str">
        <x:f>IF(J234="","",IF(T234&lt;0,"EOL dépassée",IF(T234&lt;=180,"&lt; 6 mois",IF(T234&lt;=365,"&lt; 12 mois","OK"))))</x:f>
      </x:c>
    </x:row>
    <x:row r="235">
      <x:c r="A235" s="82"/>
      <x:c r="B235" s="82"/>
      <x:c r="C235" s="82"/>
      <x:c r="D235" s="82"/>
      <x:c r="E235" s="82"/>
      <x:c r="F235" s="82"/>
      <x:c r="G235" s="82"/>
      <x:c r="H235" s="82"/>
      <x:c r="I235" s="82"/>
      <x:c r="J235" s="110"/>
      <x:c r="K235" s="82"/>
      <x:c r="L235" s="82"/>
      <x:c r="M235" s="82"/>
      <x:c r="N235" s="82"/>
      <x:c r="O235" s="110"/>
      <x:c r="P235" s="82"/>
      <x:c r="Q235" s="82"/>
      <x:c r="R235" s="82"/>
      <x:c r="S235" s="82"/>
      <x:c r="T235" s="144" t="str">
        <x:f>IF(J235="","",J235-TODAY())</x:f>
      </x:c>
      <x:c r="U235" s="82" t="str">
        <x:f>IF(J235="","",IF(T235&lt;0,"EOL dépassée",IF(T235&lt;=180,"&lt; 6 mois",IF(T235&lt;=365,"&lt; 12 mois","OK"))))</x:f>
      </x:c>
    </x:row>
    <x:row r="236">
      <x:c r="A236" s="82"/>
      <x:c r="B236" s="82"/>
      <x:c r="C236" s="82"/>
      <x:c r="D236" s="82"/>
      <x:c r="E236" s="82"/>
      <x:c r="F236" s="82"/>
      <x:c r="G236" s="82"/>
      <x:c r="H236" s="82"/>
      <x:c r="I236" s="82"/>
      <x:c r="J236" s="110"/>
      <x:c r="K236" s="82"/>
      <x:c r="L236" s="82"/>
      <x:c r="M236" s="82"/>
      <x:c r="N236" s="82"/>
      <x:c r="O236" s="110"/>
      <x:c r="P236" s="82"/>
      <x:c r="Q236" s="82"/>
      <x:c r="R236" s="82"/>
      <x:c r="S236" s="82"/>
      <x:c r="T236" s="144" t="str">
        <x:f>IF(J236="","",J236-TODAY())</x:f>
      </x:c>
      <x:c r="U236" s="82" t="str">
        <x:f>IF(J236="","",IF(T236&lt;0,"EOL dépassée",IF(T236&lt;=180,"&lt; 6 mois",IF(T236&lt;=365,"&lt; 12 mois","OK"))))</x:f>
      </x:c>
    </x:row>
    <x:row r="237">
      <x:c r="A237" s="82"/>
      <x:c r="B237" s="82"/>
      <x:c r="C237" s="82"/>
      <x:c r="D237" s="82"/>
      <x:c r="E237" s="82"/>
      <x:c r="F237" s="82"/>
      <x:c r="G237" s="82"/>
      <x:c r="H237" s="82"/>
      <x:c r="I237" s="82"/>
      <x:c r="J237" s="110"/>
      <x:c r="K237" s="82"/>
      <x:c r="L237" s="82"/>
      <x:c r="M237" s="82"/>
      <x:c r="N237" s="82"/>
      <x:c r="O237" s="110"/>
      <x:c r="P237" s="82"/>
      <x:c r="Q237" s="82"/>
      <x:c r="R237" s="82"/>
      <x:c r="S237" s="82"/>
      <x:c r="T237" s="144" t="str">
        <x:f>IF(J237="","",J237-TODAY())</x:f>
      </x:c>
      <x:c r="U237" s="82" t="str">
        <x:f>IF(J237="","",IF(T237&lt;0,"EOL dépassée",IF(T237&lt;=180,"&lt; 6 mois",IF(T237&lt;=365,"&lt; 12 mois","OK"))))</x:f>
      </x:c>
    </x:row>
    <x:row r="238">
      <x:c r="A238" s="82"/>
      <x:c r="B238" s="82"/>
      <x:c r="C238" s="82"/>
      <x:c r="D238" s="82"/>
      <x:c r="E238" s="82"/>
      <x:c r="F238" s="82"/>
      <x:c r="G238" s="82"/>
      <x:c r="H238" s="82"/>
      <x:c r="I238" s="82"/>
      <x:c r="J238" s="110"/>
      <x:c r="K238" s="82"/>
      <x:c r="L238" s="82"/>
      <x:c r="M238" s="82"/>
      <x:c r="N238" s="82"/>
      <x:c r="O238" s="110"/>
      <x:c r="P238" s="82"/>
      <x:c r="Q238" s="82"/>
      <x:c r="R238" s="82"/>
      <x:c r="S238" s="82"/>
      <x:c r="T238" s="144" t="str">
        <x:f>IF(J238="","",J238-TODAY())</x:f>
      </x:c>
      <x:c r="U238" s="82" t="str">
        <x:f>IF(J238="","",IF(T238&lt;0,"EOL dépassée",IF(T238&lt;=180,"&lt; 6 mois",IF(T238&lt;=365,"&lt; 12 mois","OK"))))</x:f>
      </x:c>
    </x:row>
    <x:row r="239">
      <x:c r="A239" s="82"/>
      <x:c r="B239" s="82"/>
      <x:c r="C239" s="82"/>
      <x:c r="D239" s="82"/>
      <x:c r="E239" s="82"/>
      <x:c r="F239" s="82"/>
      <x:c r="G239" s="82"/>
      <x:c r="H239" s="82"/>
      <x:c r="I239" s="82"/>
      <x:c r="J239" s="110"/>
      <x:c r="K239" s="82"/>
      <x:c r="L239" s="82"/>
      <x:c r="M239" s="82"/>
      <x:c r="N239" s="82"/>
      <x:c r="O239" s="110"/>
      <x:c r="P239" s="82"/>
      <x:c r="Q239" s="82"/>
      <x:c r="R239" s="82"/>
      <x:c r="S239" s="82"/>
      <x:c r="T239" s="144" t="str">
        <x:f>IF(J239="","",J239-TODAY())</x:f>
      </x:c>
      <x:c r="U239" s="82" t="str">
        <x:f>IF(J239="","",IF(T239&lt;0,"EOL dépassée",IF(T239&lt;=180,"&lt; 6 mois",IF(T239&lt;=365,"&lt; 12 mois","OK"))))</x:f>
      </x:c>
    </x:row>
    <x:row r="240">
      <x:c r="A240" s="82"/>
      <x:c r="B240" s="82"/>
      <x:c r="C240" s="82"/>
      <x:c r="D240" s="82"/>
      <x:c r="E240" s="82"/>
      <x:c r="F240" s="82"/>
      <x:c r="G240" s="82"/>
      <x:c r="H240" s="82"/>
      <x:c r="I240" s="82"/>
      <x:c r="J240" s="110"/>
      <x:c r="K240" s="82"/>
      <x:c r="L240" s="82"/>
      <x:c r="M240" s="82"/>
      <x:c r="N240" s="82"/>
      <x:c r="O240" s="110"/>
      <x:c r="P240" s="82"/>
      <x:c r="Q240" s="82"/>
      <x:c r="R240" s="82"/>
      <x:c r="S240" s="82"/>
      <x:c r="T240" s="144" t="str">
        <x:f>IF(J240="","",J240-TODAY())</x:f>
      </x:c>
      <x:c r="U240" s="82" t="str">
        <x:f>IF(J240="","",IF(T240&lt;0,"EOL dépassée",IF(T240&lt;=180,"&lt; 6 mois",IF(T240&lt;=365,"&lt; 12 mois","OK"))))</x:f>
      </x:c>
    </x:row>
    <x:row r="241">
      <x:c r="A241" s="82"/>
      <x:c r="B241" s="82"/>
      <x:c r="C241" s="82"/>
      <x:c r="D241" s="82"/>
      <x:c r="E241" s="82"/>
      <x:c r="F241" s="82"/>
      <x:c r="G241" s="82"/>
      <x:c r="H241" s="82"/>
      <x:c r="I241" s="82"/>
      <x:c r="J241" s="110"/>
      <x:c r="K241" s="82"/>
      <x:c r="L241" s="82"/>
      <x:c r="M241" s="82"/>
      <x:c r="N241" s="82"/>
      <x:c r="O241" s="110"/>
      <x:c r="P241" s="82"/>
      <x:c r="Q241" s="82"/>
      <x:c r="R241" s="82"/>
      <x:c r="S241" s="82"/>
      <x:c r="T241" s="144" t="str">
        <x:f>IF(J241="","",J241-TODAY())</x:f>
      </x:c>
      <x:c r="U241" s="82" t="str">
        <x:f>IF(J241="","",IF(T241&lt;0,"EOL dépassée",IF(T241&lt;=180,"&lt; 6 mois",IF(T241&lt;=365,"&lt; 12 mois","OK"))))</x:f>
      </x:c>
    </x:row>
    <x:row r="242">
      <x:c r="A242" s="82"/>
      <x:c r="B242" s="82"/>
      <x:c r="C242" s="82"/>
      <x:c r="D242" s="82"/>
      <x:c r="E242" s="82"/>
      <x:c r="F242" s="82"/>
      <x:c r="G242" s="82"/>
      <x:c r="H242" s="82"/>
      <x:c r="I242" s="82"/>
      <x:c r="J242" s="110"/>
      <x:c r="K242" s="82"/>
      <x:c r="L242" s="82"/>
      <x:c r="M242" s="82"/>
      <x:c r="N242" s="82"/>
      <x:c r="O242" s="110"/>
      <x:c r="P242" s="82"/>
      <x:c r="Q242" s="82"/>
      <x:c r="R242" s="82"/>
      <x:c r="S242" s="82"/>
      <x:c r="T242" s="144" t="str">
        <x:f>IF(J242="","",J242-TODAY())</x:f>
      </x:c>
      <x:c r="U242" s="82" t="str">
        <x:f>IF(J242="","",IF(T242&lt;0,"EOL dépassée",IF(T242&lt;=180,"&lt; 6 mois",IF(T242&lt;=365,"&lt; 12 mois","OK"))))</x:f>
      </x:c>
    </x:row>
    <x:row r="243">
      <x:c r="A243" s="82"/>
      <x:c r="B243" s="82"/>
      <x:c r="C243" s="82"/>
      <x:c r="D243" s="82"/>
      <x:c r="E243" s="82"/>
      <x:c r="F243" s="82"/>
      <x:c r="G243" s="82"/>
      <x:c r="H243" s="82"/>
      <x:c r="I243" s="82"/>
      <x:c r="J243" s="110"/>
      <x:c r="K243" s="82"/>
      <x:c r="L243" s="82"/>
      <x:c r="M243" s="82"/>
      <x:c r="N243" s="82"/>
      <x:c r="O243" s="110"/>
      <x:c r="P243" s="82"/>
      <x:c r="Q243" s="82"/>
      <x:c r="R243" s="82"/>
      <x:c r="S243" s="82"/>
      <x:c r="T243" s="144" t="str">
        <x:f>IF(J243="","",J243-TODAY())</x:f>
      </x:c>
      <x:c r="U243" s="82" t="str">
        <x:f>IF(J243="","",IF(T243&lt;0,"EOL dépassée",IF(T243&lt;=180,"&lt; 6 mois",IF(T243&lt;=365,"&lt; 12 mois","OK"))))</x:f>
      </x:c>
    </x:row>
    <x:row r="244">
      <x:c r="A244" s="82"/>
      <x:c r="B244" s="82"/>
      <x:c r="C244" s="82"/>
      <x:c r="D244" s="82"/>
      <x:c r="E244" s="82"/>
      <x:c r="F244" s="82"/>
      <x:c r="G244" s="82"/>
      <x:c r="H244" s="82"/>
      <x:c r="I244" s="82"/>
      <x:c r="J244" s="110"/>
      <x:c r="K244" s="82"/>
      <x:c r="L244" s="82"/>
      <x:c r="M244" s="82"/>
      <x:c r="N244" s="82"/>
      <x:c r="O244" s="110"/>
      <x:c r="P244" s="82"/>
      <x:c r="Q244" s="82"/>
      <x:c r="R244" s="82"/>
      <x:c r="S244" s="82"/>
      <x:c r="T244" s="144" t="str">
        <x:f>IF(J244="","",J244-TODAY())</x:f>
      </x:c>
      <x:c r="U244" s="82" t="str">
        <x:f>IF(J244="","",IF(T244&lt;0,"EOL dépassée",IF(T244&lt;=180,"&lt; 6 mois",IF(T244&lt;=365,"&lt; 12 mois","OK"))))</x:f>
      </x:c>
    </x:row>
    <x:row r="245">
      <x:c r="A245" s="82"/>
      <x:c r="B245" s="82"/>
      <x:c r="C245" s="82"/>
      <x:c r="D245" s="82"/>
      <x:c r="E245" s="82"/>
      <x:c r="F245" s="82"/>
      <x:c r="G245" s="82"/>
      <x:c r="H245" s="82"/>
      <x:c r="I245" s="82"/>
      <x:c r="J245" s="110"/>
      <x:c r="K245" s="82"/>
      <x:c r="L245" s="82"/>
      <x:c r="M245" s="82"/>
      <x:c r="N245" s="82"/>
      <x:c r="O245" s="110"/>
      <x:c r="P245" s="82"/>
      <x:c r="Q245" s="82"/>
      <x:c r="R245" s="82"/>
      <x:c r="S245" s="82"/>
      <x:c r="T245" s="144" t="str">
        <x:f>IF(J245="","",J245-TODAY())</x:f>
      </x:c>
      <x:c r="U245" s="82" t="str">
        <x:f>IF(J245="","",IF(T245&lt;0,"EOL dépassée",IF(T245&lt;=180,"&lt; 6 mois",IF(T245&lt;=365,"&lt; 12 mois","OK"))))</x:f>
      </x:c>
    </x:row>
    <x:row r="246">
      <x:c r="A246" s="82"/>
      <x:c r="B246" s="82"/>
      <x:c r="C246" s="82"/>
      <x:c r="D246" s="82"/>
      <x:c r="E246" s="82"/>
      <x:c r="F246" s="82"/>
      <x:c r="G246" s="82"/>
      <x:c r="H246" s="82"/>
      <x:c r="I246" s="82"/>
      <x:c r="J246" s="110"/>
      <x:c r="K246" s="82"/>
      <x:c r="L246" s="82"/>
      <x:c r="M246" s="82"/>
      <x:c r="N246" s="82"/>
      <x:c r="O246" s="110"/>
      <x:c r="P246" s="82"/>
      <x:c r="Q246" s="82"/>
      <x:c r="R246" s="82"/>
      <x:c r="S246" s="82"/>
      <x:c r="T246" s="144" t="str">
        <x:f>IF(J246="","",J246-TODAY())</x:f>
      </x:c>
      <x:c r="U246" s="82" t="str">
        <x:f>IF(J246="","",IF(T246&lt;0,"EOL dépassée",IF(T246&lt;=180,"&lt; 6 mois",IF(T246&lt;=365,"&lt; 12 mois","OK"))))</x:f>
      </x:c>
    </x:row>
    <x:row r="247">
      <x:c r="A247" s="82"/>
      <x:c r="B247" s="82"/>
      <x:c r="C247" s="82"/>
      <x:c r="D247" s="82"/>
      <x:c r="E247" s="82"/>
      <x:c r="F247" s="82"/>
      <x:c r="G247" s="82"/>
      <x:c r="H247" s="82"/>
      <x:c r="I247" s="82"/>
      <x:c r="J247" s="110"/>
      <x:c r="K247" s="82"/>
      <x:c r="L247" s="82"/>
      <x:c r="M247" s="82"/>
      <x:c r="N247" s="82"/>
      <x:c r="O247" s="110"/>
      <x:c r="P247" s="82"/>
      <x:c r="Q247" s="82"/>
      <x:c r="R247" s="82"/>
      <x:c r="S247" s="82"/>
      <x:c r="T247" s="144" t="str">
        <x:f>IF(J247="","",J247-TODAY())</x:f>
      </x:c>
      <x:c r="U247" s="82" t="str">
        <x:f>IF(J247="","",IF(T247&lt;0,"EOL dépassée",IF(T247&lt;=180,"&lt; 6 mois",IF(T247&lt;=365,"&lt; 12 mois","OK"))))</x:f>
      </x:c>
    </x:row>
    <x:row r="248">
      <x:c r="A248" s="82"/>
      <x:c r="B248" s="82"/>
      <x:c r="C248" s="82"/>
      <x:c r="D248" s="82"/>
      <x:c r="E248" s="82"/>
      <x:c r="F248" s="82"/>
      <x:c r="G248" s="82"/>
      <x:c r="H248" s="82"/>
      <x:c r="I248" s="82"/>
      <x:c r="J248" s="110"/>
      <x:c r="K248" s="82"/>
      <x:c r="L248" s="82"/>
      <x:c r="M248" s="82"/>
      <x:c r="N248" s="82"/>
      <x:c r="O248" s="110"/>
      <x:c r="P248" s="82"/>
      <x:c r="Q248" s="82"/>
      <x:c r="R248" s="82"/>
      <x:c r="S248" s="82"/>
      <x:c r="T248" s="144" t="str">
        <x:f>IF(J248="","",J248-TODAY())</x:f>
      </x:c>
      <x:c r="U248" s="82" t="str">
        <x:f>IF(J248="","",IF(T248&lt;0,"EOL dépassée",IF(T248&lt;=180,"&lt; 6 mois",IF(T248&lt;=365,"&lt; 12 mois","OK"))))</x:f>
      </x:c>
    </x:row>
    <x:row r="249">
      <x:c r="A249" s="82"/>
      <x:c r="B249" s="82"/>
      <x:c r="C249" s="82"/>
      <x:c r="D249" s="82"/>
      <x:c r="E249" s="82"/>
      <x:c r="F249" s="82"/>
      <x:c r="G249" s="82"/>
      <x:c r="H249" s="82"/>
      <x:c r="I249" s="82"/>
      <x:c r="J249" s="110"/>
      <x:c r="K249" s="82"/>
      <x:c r="L249" s="82"/>
      <x:c r="M249" s="82"/>
      <x:c r="N249" s="82"/>
      <x:c r="O249" s="110"/>
      <x:c r="P249" s="82"/>
      <x:c r="Q249" s="82"/>
      <x:c r="R249" s="82"/>
      <x:c r="S249" s="82"/>
      <x:c r="T249" s="144" t="str">
        <x:f>IF(J249="","",J249-TODAY())</x:f>
      </x:c>
      <x:c r="U249" s="82" t="str">
        <x:f>IF(J249="","",IF(T249&lt;0,"EOL dépassée",IF(T249&lt;=180,"&lt; 6 mois",IF(T249&lt;=365,"&lt; 12 mois","OK"))))</x:f>
      </x:c>
    </x:row>
    <x:row r="250">
      <x:c r="A250" s="82"/>
      <x:c r="B250" s="82"/>
      <x:c r="C250" s="82"/>
      <x:c r="D250" s="82"/>
      <x:c r="E250" s="82"/>
      <x:c r="F250" s="82"/>
      <x:c r="G250" s="82"/>
      <x:c r="H250" s="82"/>
      <x:c r="I250" s="82"/>
      <x:c r="J250" s="110"/>
      <x:c r="K250" s="82"/>
      <x:c r="L250" s="82"/>
      <x:c r="M250" s="82"/>
      <x:c r="N250" s="82"/>
      <x:c r="O250" s="110"/>
      <x:c r="P250" s="82"/>
      <x:c r="Q250" s="82"/>
      <x:c r="R250" s="82"/>
      <x:c r="S250" s="82"/>
      <x:c r="T250" s="144" t="str">
        <x:f>IF(J250="","",J250-TODAY())</x:f>
      </x:c>
      <x:c r="U250" s="82" t="str">
        <x:f>IF(J250="","",IF(T250&lt;0,"EOL dépassée",IF(T250&lt;=180,"&lt; 6 mois",IF(T250&lt;=365,"&lt; 12 mois","OK"))))</x:f>
      </x:c>
    </x:row>
    <x:row r="251">
      <x:c r="A251" s="82"/>
      <x:c r="B251" s="82"/>
      <x:c r="C251" s="82"/>
      <x:c r="D251" s="82"/>
      <x:c r="E251" s="82"/>
      <x:c r="F251" s="82"/>
      <x:c r="G251" s="82"/>
      <x:c r="H251" s="82"/>
      <x:c r="I251" s="82"/>
      <x:c r="J251" s="110"/>
      <x:c r="K251" s="82"/>
      <x:c r="L251" s="82"/>
      <x:c r="M251" s="82"/>
      <x:c r="N251" s="82"/>
      <x:c r="O251" s="110"/>
      <x:c r="P251" s="82"/>
      <x:c r="Q251" s="82"/>
      <x:c r="R251" s="82"/>
      <x:c r="S251" s="82"/>
      <x:c r="T251" s="144" t="str">
        <x:f>IF(J251="","",J251-TODAY())</x:f>
      </x:c>
      <x:c r="U251" s="82" t="str">
        <x:f>IF(J251="","",IF(T251&lt;0,"EOL dépassée",IF(T251&lt;=180,"&lt; 6 mois",IF(T251&lt;=365,"&lt; 12 mois","OK"))))</x:f>
      </x:c>
    </x:row>
    <x:row r="252">
      <x:c r="A252" s="82"/>
      <x:c r="B252" s="82"/>
      <x:c r="C252" s="82"/>
      <x:c r="D252" s="82"/>
      <x:c r="E252" s="82"/>
      <x:c r="F252" s="82"/>
      <x:c r="G252" s="82"/>
      <x:c r="H252" s="82"/>
      <x:c r="I252" s="82"/>
      <x:c r="J252" s="110"/>
      <x:c r="K252" s="82"/>
      <x:c r="L252" s="82"/>
      <x:c r="M252" s="82"/>
      <x:c r="N252" s="82"/>
      <x:c r="O252" s="110"/>
      <x:c r="P252" s="82"/>
      <x:c r="Q252" s="82"/>
      <x:c r="R252" s="82"/>
      <x:c r="S252" s="82"/>
      <x:c r="T252" s="144" t="str">
        <x:f>IF(J252="","",J252-TODAY())</x:f>
      </x:c>
      <x:c r="U252" s="82" t="str">
        <x:f>IF(J252="","",IF(T252&lt;0,"EOL dépassée",IF(T252&lt;=180,"&lt; 6 mois",IF(T252&lt;=365,"&lt; 12 mois","OK"))))</x:f>
      </x:c>
    </x:row>
    <x:row r="253">
      <x:c r="A253" s="82"/>
      <x:c r="B253" s="82"/>
      <x:c r="C253" s="82"/>
      <x:c r="D253" s="82"/>
      <x:c r="E253" s="82"/>
      <x:c r="F253" s="82"/>
      <x:c r="G253" s="82"/>
      <x:c r="H253" s="82"/>
      <x:c r="I253" s="82"/>
      <x:c r="J253" s="110"/>
      <x:c r="K253" s="82"/>
      <x:c r="L253" s="82"/>
      <x:c r="M253" s="82"/>
      <x:c r="N253" s="82"/>
      <x:c r="O253" s="110"/>
      <x:c r="P253" s="82"/>
      <x:c r="Q253" s="82"/>
      <x:c r="R253" s="82"/>
      <x:c r="S253" s="82"/>
      <x:c r="T253" s="144" t="str">
        <x:f>IF(J253="","",J253-TODAY())</x:f>
      </x:c>
      <x:c r="U253" s="82" t="str">
        <x:f>IF(J253="","",IF(T253&lt;0,"EOL dépassée",IF(T253&lt;=180,"&lt; 6 mois",IF(T253&lt;=365,"&lt; 12 mois","OK"))))</x:f>
      </x:c>
    </x:row>
    <x:row r="254">
      <x:c r="A254" s="82"/>
      <x:c r="B254" s="82"/>
      <x:c r="C254" s="82"/>
      <x:c r="D254" s="82"/>
      <x:c r="E254" s="82"/>
      <x:c r="F254" s="82"/>
      <x:c r="G254" s="82"/>
      <x:c r="H254" s="82"/>
      <x:c r="I254" s="82"/>
      <x:c r="J254" s="110"/>
      <x:c r="K254" s="82"/>
      <x:c r="L254" s="82"/>
      <x:c r="M254" s="82"/>
      <x:c r="N254" s="82"/>
      <x:c r="O254" s="110"/>
      <x:c r="P254" s="82"/>
      <x:c r="Q254" s="82"/>
      <x:c r="R254" s="82"/>
      <x:c r="S254" s="82"/>
      <x:c r="T254" s="144" t="str">
        <x:f>IF(J254="","",J254-TODAY())</x:f>
      </x:c>
      <x:c r="U254" s="82" t="str">
        <x:f>IF(J254="","",IF(T254&lt;0,"EOL dépassée",IF(T254&lt;=180,"&lt; 6 mois",IF(T254&lt;=365,"&lt; 12 mois","OK"))))</x:f>
      </x:c>
    </x:row>
    <x:row r="255">
      <x:c r="A255" s="82"/>
      <x:c r="B255" s="82"/>
      <x:c r="C255" s="82"/>
      <x:c r="D255" s="82"/>
      <x:c r="E255" s="82"/>
      <x:c r="F255" s="82"/>
      <x:c r="G255" s="82"/>
      <x:c r="H255" s="82"/>
      <x:c r="I255" s="82"/>
      <x:c r="J255" s="110"/>
      <x:c r="K255" s="82"/>
      <x:c r="L255" s="82"/>
      <x:c r="M255" s="82"/>
      <x:c r="N255" s="82"/>
      <x:c r="O255" s="110"/>
      <x:c r="P255" s="82"/>
      <x:c r="Q255" s="82"/>
      <x:c r="R255" s="82"/>
      <x:c r="S255" s="82"/>
      <x:c r="T255" s="144" t="str">
        <x:f>IF(J255="","",J255-TODAY())</x:f>
      </x:c>
      <x:c r="U255" s="82" t="str">
        <x:f>IF(J255="","",IF(T255&lt;0,"EOL dépassée",IF(T255&lt;=180,"&lt; 6 mois",IF(T255&lt;=365,"&lt; 12 mois","OK"))))</x:f>
      </x:c>
    </x:row>
    <x:row r="256">
      <x:c r="A256" s="82"/>
      <x:c r="B256" s="82"/>
      <x:c r="C256" s="82"/>
      <x:c r="D256" s="82"/>
      <x:c r="E256" s="82"/>
      <x:c r="F256" s="82"/>
      <x:c r="G256" s="82"/>
      <x:c r="H256" s="82"/>
      <x:c r="I256" s="82"/>
      <x:c r="J256" s="110"/>
      <x:c r="K256" s="82"/>
      <x:c r="L256" s="82"/>
      <x:c r="M256" s="82"/>
      <x:c r="N256" s="82"/>
      <x:c r="O256" s="110"/>
      <x:c r="P256" s="82"/>
      <x:c r="Q256" s="82"/>
      <x:c r="R256" s="82"/>
      <x:c r="S256" s="82"/>
      <x:c r="T256" s="144" t="str">
        <x:f>IF(J256="","",J256-TODAY())</x:f>
      </x:c>
      <x:c r="U256" s="82" t="str">
        <x:f>IF(J256="","",IF(T256&lt;0,"EOL dépassée",IF(T256&lt;=180,"&lt; 6 mois",IF(T256&lt;=365,"&lt; 12 mois","OK"))))</x:f>
      </x:c>
    </x:row>
    <x:row r="257">
      <x:c r="A257" s="82"/>
      <x:c r="B257" s="82"/>
      <x:c r="C257" s="82"/>
      <x:c r="D257" s="82"/>
      <x:c r="E257" s="82"/>
      <x:c r="F257" s="82"/>
      <x:c r="G257" s="82"/>
      <x:c r="H257" s="82"/>
      <x:c r="I257" s="82"/>
      <x:c r="J257" s="110"/>
      <x:c r="K257" s="82"/>
      <x:c r="L257" s="82"/>
      <x:c r="M257" s="82"/>
      <x:c r="N257" s="82"/>
      <x:c r="O257" s="110"/>
      <x:c r="P257" s="82"/>
      <x:c r="Q257" s="82"/>
      <x:c r="R257" s="82"/>
      <x:c r="S257" s="82"/>
      <x:c r="T257" s="144" t="str">
        <x:f>IF(J257="","",J257-TODAY())</x:f>
      </x:c>
      <x:c r="U257" s="82" t="str">
        <x:f>IF(J257="","",IF(T257&lt;0,"EOL dépassée",IF(T257&lt;=180,"&lt; 6 mois",IF(T257&lt;=365,"&lt; 12 mois","OK"))))</x:f>
      </x:c>
    </x:row>
    <x:row r="258">
      <x:c r="A258" s="82"/>
      <x:c r="B258" s="82"/>
      <x:c r="C258" s="82"/>
      <x:c r="D258" s="82"/>
      <x:c r="E258" s="82"/>
      <x:c r="F258" s="82"/>
      <x:c r="G258" s="82"/>
      <x:c r="H258" s="82"/>
      <x:c r="I258" s="82"/>
      <x:c r="J258" s="110"/>
      <x:c r="K258" s="82"/>
      <x:c r="L258" s="82"/>
      <x:c r="M258" s="82"/>
      <x:c r="N258" s="82"/>
      <x:c r="O258" s="110"/>
      <x:c r="P258" s="82"/>
      <x:c r="Q258" s="82"/>
      <x:c r="R258" s="82"/>
      <x:c r="S258" s="82"/>
      <x:c r="T258" s="144" t="str">
        <x:f>IF(J258="","",J258-TODAY())</x:f>
      </x:c>
      <x:c r="U258" s="82" t="str">
        <x:f>IF(J258="","",IF(T258&lt;0,"EOL dépassée",IF(T258&lt;=180,"&lt; 6 mois",IF(T258&lt;=365,"&lt; 12 mois","OK"))))</x:f>
      </x:c>
    </x:row>
    <x:row r="259">
      <x:c r="A259" s="82"/>
      <x:c r="B259" s="82"/>
      <x:c r="C259" s="82"/>
      <x:c r="D259" s="82"/>
      <x:c r="E259" s="82"/>
      <x:c r="F259" s="82"/>
      <x:c r="G259" s="82"/>
      <x:c r="H259" s="82"/>
      <x:c r="I259" s="82"/>
      <x:c r="J259" s="110"/>
      <x:c r="K259" s="82"/>
      <x:c r="L259" s="82"/>
      <x:c r="M259" s="82"/>
      <x:c r="N259" s="82"/>
      <x:c r="O259" s="110"/>
      <x:c r="P259" s="82"/>
      <x:c r="Q259" s="82"/>
      <x:c r="R259" s="82"/>
      <x:c r="S259" s="82"/>
      <x:c r="T259" s="144" t="str">
        <x:f>IF(J259="","",J259-TODAY())</x:f>
      </x:c>
      <x:c r="U259" s="82" t="str">
        <x:f>IF(J259="","",IF(T259&lt;0,"EOL dépassée",IF(T259&lt;=180,"&lt; 6 mois",IF(T259&lt;=365,"&lt; 12 mois","OK"))))</x:f>
      </x:c>
    </x:row>
    <x:row r="260">
      <x:c r="A260" s="82"/>
      <x:c r="B260" s="82"/>
      <x:c r="C260" s="82"/>
      <x:c r="D260" s="82"/>
      <x:c r="E260" s="82"/>
      <x:c r="F260" s="82"/>
      <x:c r="G260" s="82"/>
      <x:c r="H260" s="82"/>
      <x:c r="I260" s="82"/>
      <x:c r="J260" s="110"/>
      <x:c r="K260" s="82"/>
      <x:c r="L260" s="82"/>
      <x:c r="M260" s="82"/>
      <x:c r="N260" s="82"/>
      <x:c r="O260" s="110"/>
      <x:c r="P260" s="82"/>
      <x:c r="Q260" s="82"/>
      <x:c r="R260" s="82"/>
      <x:c r="S260" s="82"/>
      <x:c r="T260" s="144" t="str">
        <x:f>IF(J260="","",J260-TODAY())</x:f>
      </x:c>
      <x:c r="U260" s="82" t="str">
        <x:f>IF(J260="","",IF(T260&lt;0,"EOL dépassée",IF(T260&lt;=180,"&lt; 6 mois",IF(T260&lt;=365,"&lt; 12 mois","OK"))))</x:f>
      </x:c>
    </x:row>
    <x:row r="261">
      <x:c r="A261" s="82"/>
      <x:c r="B261" s="82"/>
      <x:c r="C261" s="82"/>
      <x:c r="D261" s="82"/>
      <x:c r="E261" s="82"/>
      <x:c r="F261" s="82"/>
      <x:c r="G261" s="82"/>
      <x:c r="H261" s="82"/>
      <x:c r="I261" s="82"/>
      <x:c r="J261" s="110"/>
      <x:c r="K261" s="82"/>
      <x:c r="L261" s="82"/>
      <x:c r="M261" s="82"/>
      <x:c r="N261" s="82"/>
      <x:c r="O261" s="110"/>
      <x:c r="P261" s="82"/>
      <x:c r="Q261" s="82"/>
      <x:c r="R261" s="82"/>
      <x:c r="S261" s="82"/>
      <x:c r="T261" s="144" t="str">
        <x:f>IF(J261="","",J261-TODAY())</x:f>
      </x:c>
      <x:c r="U261" s="82" t="str">
        <x:f>IF(J261="","",IF(T261&lt;0,"EOL dépassée",IF(T261&lt;=180,"&lt; 6 mois",IF(T261&lt;=365,"&lt; 12 mois","OK"))))</x:f>
      </x:c>
    </x:row>
    <x:row r="262">
      <x:c r="A262" s="82"/>
      <x:c r="B262" s="82"/>
      <x:c r="C262" s="82"/>
      <x:c r="D262" s="82"/>
      <x:c r="E262" s="82"/>
      <x:c r="F262" s="82"/>
      <x:c r="G262" s="82"/>
      <x:c r="H262" s="82"/>
      <x:c r="I262" s="82"/>
      <x:c r="J262" s="110"/>
      <x:c r="K262" s="82"/>
      <x:c r="L262" s="82"/>
      <x:c r="M262" s="82"/>
      <x:c r="N262" s="82"/>
      <x:c r="O262" s="110"/>
      <x:c r="P262" s="82"/>
      <x:c r="Q262" s="82"/>
      <x:c r="R262" s="82"/>
      <x:c r="S262" s="82"/>
      <x:c r="T262" s="144" t="str">
        <x:f>IF(J262="","",J262-TODAY())</x:f>
      </x:c>
      <x:c r="U262" s="82" t="str">
        <x:f>IF(J262="","",IF(T262&lt;0,"EOL dépassée",IF(T262&lt;=180,"&lt; 6 mois",IF(T262&lt;=365,"&lt; 12 mois","OK"))))</x:f>
      </x:c>
    </x:row>
    <x:row r="263">
      <x:c r="A263" s="82"/>
      <x:c r="B263" s="82"/>
      <x:c r="C263" s="82"/>
      <x:c r="D263" s="82"/>
      <x:c r="E263" s="82"/>
      <x:c r="F263" s="82"/>
      <x:c r="G263" s="82"/>
      <x:c r="H263" s="82"/>
      <x:c r="I263" s="82"/>
      <x:c r="J263" s="110"/>
      <x:c r="K263" s="82"/>
      <x:c r="L263" s="82"/>
      <x:c r="M263" s="82"/>
      <x:c r="N263" s="82"/>
      <x:c r="O263" s="110"/>
      <x:c r="P263" s="82"/>
      <x:c r="Q263" s="82"/>
      <x:c r="R263" s="82"/>
      <x:c r="S263" s="82"/>
      <x:c r="T263" s="144" t="str">
        <x:f>IF(J263="","",J263-TODAY())</x:f>
      </x:c>
      <x:c r="U263" s="82" t="str">
        <x:f>IF(J263="","",IF(T263&lt;0,"EOL dépassée",IF(T263&lt;=180,"&lt; 6 mois",IF(T263&lt;=365,"&lt; 12 mois","OK"))))</x:f>
      </x:c>
    </x:row>
    <x:row r="264">
      <x:c r="A264" s="82"/>
      <x:c r="B264" s="82"/>
      <x:c r="C264" s="82"/>
      <x:c r="D264" s="82"/>
      <x:c r="E264" s="82"/>
      <x:c r="F264" s="82"/>
      <x:c r="G264" s="82"/>
      <x:c r="H264" s="82"/>
      <x:c r="I264" s="82"/>
      <x:c r="J264" s="110"/>
      <x:c r="K264" s="82"/>
      <x:c r="L264" s="82"/>
      <x:c r="M264" s="82"/>
      <x:c r="N264" s="82"/>
      <x:c r="O264" s="110"/>
      <x:c r="P264" s="82"/>
      <x:c r="Q264" s="82"/>
      <x:c r="R264" s="82"/>
      <x:c r="S264" s="82"/>
      <x:c r="T264" s="144" t="str">
        <x:f>IF(J264="","",J264-TODAY())</x:f>
      </x:c>
      <x:c r="U264" s="82" t="str">
        <x:f>IF(J264="","",IF(T264&lt;0,"EOL dépassée",IF(T264&lt;=180,"&lt; 6 mois",IF(T264&lt;=365,"&lt; 12 mois","OK"))))</x:f>
      </x:c>
    </x:row>
    <x:row r="265">
      <x:c r="A265" s="82"/>
      <x:c r="B265" s="82"/>
      <x:c r="C265" s="82"/>
      <x:c r="D265" s="82"/>
      <x:c r="E265" s="82"/>
      <x:c r="F265" s="82"/>
      <x:c r="G265" s="82"/>
      <x:c r="H265" s="82"/>
      <x:c r="I265" s="82"/>
      <x:c r="J265" s="110"/>
      <x:c r="K265" s="82"/>
      <x:c r="L265" s="82"/>
      <x:c r="M265" s="82"/>
      <x:c r="N265" s="82"/>
      <x:c r="O265" s="110"/>
      <x:c r="P265" s="82"/>
      <x:c r="Q265" s="82"/>
      <x:c r="R265" s="82"/>
      <x:c r="S265" s="82"/>
      <x:c r="T265" s="144" t="str">
        <x:f>IF(J265="","",J265-TODAY())</x:f>
      </x:c>
      <x:c r="U265" s="82" t="str">
        <x:f>IF(J265="","",IF(T265&lt;0,"EOL dépassée",IF(T265&lt;=180,"&lt; 6 mois",IF(T265&lt;=365,"&lt; 12 mois","OK"))))</x:f>
      </x:c>
    </x:row>
    <x:row r="266">
      <x:c r="A266" s="82"/>
      <x:c r="B266" s="82"/>
      <x:c r="C266" s="82"/>
      <x:c r="D266" s="82"/>
      <x:c r="E266" s="82"/>
      <x:c r="F266" s="82"/>
      <x:c r="G266" s="82"/>
      <x:c r="H266" s="82"/>
      <x:c r="I266" s="82"/>
      <x:c r="J266" s="110"/>
      <x:c r="K266" s="82"/>
      <x:c r="L266" s="82"/>
      <x:c r="M266" s="82"/>
      <x:c r="N266" s="82"/>
      <x:c r="O266" s="110"/>
      <x:c r="P266" s="82"/>
      <x:c r="Q266" s="82"/>
      <x:c r="R266" s="82"/>
      <x:c r="S266" s="82"/>
      <x:c r="T266" s="144" t="str">
        <x:f>IF(J266="","",J266-TODAY())</x:f>
      </x:c>
      <x:c r="U266" s="82" t="str">
        <x:f>IF(J266="","",IF(T266&lt;0,"EOL dépassée",IF(T266&lt;=180,"&lt; 6 mois",IF(T266&lt;=365,"&lt; 12 mois","OK"))))</x:f>
      </x:c>
    </x:row>
    <x:row r="267">
      <x:c r="A267" s="82"/>
      <x:c r="B267" s="82"/>
      <x:c r="C267" s="82"/>
      <x:c r="D267" s="82"/>
      <x:c r="E267" s="82"/>
      <x:c r="F267" s="82"/>
      <x:c r="G267" s="82"/>
      <x:c r="H267" s="82"/>
      <x:c r="I267" s="82"/>
      <x:c r="J267" s="110"/>
      <x:c r="K267" s="82"/>
      <x:c r="L267" s="82"/>
      <x:c r="M267" s="82"/>
      <x:c r="N267" s="82"/>
      <x:c r="O267" s="110"/>
      <x:c r="P267" s="82"/>
      <x:c r="Q267" s="82"/>
      <x:c r="R267" s="82"/>
      <x:c r="S267" s="82"/>
      <x:c r="T267" s="144" t="str">
        <x:f>IF(J267="","",J267-TODAY())</x:f>
      </x:c>
      <x:c r="U267" s="82" t="str">
        <x:f>IF(J267="","",IF(T267&lt;0,"EOL dépassée",IF(T267&lt;=180,"&lt; 6 mois",IF(T267&lt;=365,"&lt; 12 mois","OK"))))</x:f>
      </x:c>
    </x:row>
    <x:row r="268">
      <x:c r="A268" s="82"/>
      <x:c r="B268" s="82"/>
      <x:c r="C268" s="82"/>
      <x:c r="D268" s="82"/>
      <x:c r="E268" s="82"/>
      <x:c r="F268" s="82"/>
      <x:c r="G268" s="82"/>
      <x:c r="H268" s="82"/>
      <x:c r="I268" s="82"/>
      <x:c r="J268" s="110"/>
      <x:c r="K268" s="82"/>
      <x:c r="L268" s="82"/>
      <x:c r="M268" s="82"/>
      <x:c r="N268" s="82"/>
      <x:c r="O268" s="110"/>
      <x:c r="P268" s="82"/>
      <x:c r="Q268" s="82"/>
      <x:c r="R268" s="82"/>
      <x:c r="S268" s="82"/>
      <x:c r="T268" s="144" t="str">
        <x:f>IF(J268="","",J268-TODAY())</x:f>
      </x:c>
      <x:c r="U268" s="82" t="str">
        <x:f>IF(J268="","",IF(T268&lt;0,"EOL dépassée",IF(T268&lt;=180,"&lt; 6 mois",IF(T268&lt;=365,"&lt; 12 mois","OK"))))</x:f>
      </x:c>
    </x:row>
    <x:row r="269">
      <x:c r="A269" s="82"/>
      <x:c r="B269" s="82"/>
      <x:c r="C269" s="82"/>
      <x:c r="D269" s="82"/>
      <x:c r="E269" s="82"/>
      <x:c r="F269" s="82"/>
      <x:c r="G269" s="82"/>
      <x:c r="H269" s="82"/>
      <x:c r="I269" s="82"/>
      <x:c r="J269" s="110"/>
      <x:c r="K269" s="82"/>
      <x:c r="L269" s="82"/>
      <x:c r="M269" s="82"/>
      <x:c r="N269" s="82"/>
      <x:c r="O269" s="110"/>
      <x:c r="P269" s="82"/>
      <x:c r="Q269" s="82"/>
      <x:c r="R269" s="82"/>
      <x:c r="S269" s="82"/>
      <x:c r="T269" s="144" t="str">
        <x:f>IF(J269="","",J269-TODAY())</x:f>
      </x:c>
      <x:c r="U269" s="82" t="str">
        <x:f>IF(J269="","",IF(T269&lt;0,"EOL dépassée",IF(T269&lt;=180,"&lt; 6 mois",IF(T269&lt;=365,"&lt; 12 mois","OK"))))</x:f>
      </x:c>
    </x:row>
    <x:row r="270">
      <x:c r="A270" s="82"/>
      <x:c r="B270" s="82"/>
      <x:c r="C270" s="82"/>
      <x:c r="D270" s="82"/>
      <x:c r="E270" s="82"/>
      <x:c r="F270" s="82"/>
      <x:c r="G270" s="82"/>
      <x:c r="H270" s="82"/>
      <x:c r="I270" s="82"/>
      <x:c r="J270" s="110"/>
      <x:c r="K270" s="82"/>
      <x:c r="L270" s="82"/>
      <x:c r="M270" s="82"/>
      <x:c r="N270" s="82"/>
      <x:c r="O270" s="110"/>
      <x:c r="P270" s="82"/>
      <x:c r="Q270" s="82"/>
      <x:c r="R270" s="82"/>
      <x:c r="S270" s="82"/>
      <x:c r="T270" s="144" t="str">
        <x:f>IF(J270="","",J270-TODAY())</x:f>
      </x:c>
      <x:c r="U270" s="82" t="str">
        <x:f>IF(J270="","",IF(T270&lt;0,"EOL dépassée",IF(T270&lt;=180,"&lt; 6 mois",IF(T270&lt;=365,"&lt; 12 mois","OK"))))</x:f>
      </x:c>
    </x:row>
    <x:row r="271">
      <x:c r="A271" s="82"/>
      <x:c r="B271" s="82"/>
      <x:c r="C271" s="82"/>
      <x:c r="D271" s="82"/>
      <x:c r="E271" s="82"/>
      <x:c r="F271" s="82"/>
      <x:c r="G271" s="82"/>
      <x:c r="H271" s="82"/>
      <x:c r="I271" s="82"/>
      <x:c r="J271" s="110"/>
      <x:c r="K271" s="82"/>
      <x:c r="L271" s="82"/>
      <x:c r="M271" s="82"/>
      <x:c r="N271" s="82"/>
      <x:c r="O271" s="110"/>
      <x:c r="P271" s="82"/>
      <x:c r="Q271" s="82"/>
      <x:c r="R271" s="82"/>
      <x:c r="S271" s="82"/>
      <x:c r="T271" s="144" t="str">
        <x:f>IF(J271="","",J271-TODAY())</x:f>
      </x:c>
      <x:c r="U271" s="82" t="str">
        <x:f>IF(J271="","",IF(T271&lt;0,"EOL dépassée",IF(T271&lt;=180,"&lt; 6 mois",IF(T271&lt;=365,"&lt; 12 mois","OK"))))</x:f>
      </x:c>
    </x:row>
    <x:row r="272">
      <x:c r="A272" s="82"/>
      <x:c r="B272" s="82"/>
      <x:c r="C272" s="82"/>
      <x:c r="D272" s="82"/>
      <x:c r="E272" s="82"/>
      <x:c r="F272" s="82"/>
      <x:c r="G272" s="82"/>
      <x:c r="H272" s="82"/>
      <x:c r="I272" s="82"/>
      <x:c r="J272" s="110"/>
      <x:c r="K272" s="82"/>
      <x:c r="L272" s="82"/>
      <x:c r="M272" s="82"/>
      <x:c r="N272" s="82"/>
      <x:c r="O272" s="110"/>
      <x:c r="P272" s="82"/>
      <x:c r="Q272" s="82"/>
      <x:c r="R272" s="82"/>
      <x:c r="S272" s="82"/>
      <x:c r="T272" s="144" t="str">
        <x:f>IF(J272="","",J272-TODAY())</x:f>
      </x:c>
      <x:c r="U272" s="82" t="str">
        <x:f>IF(J272="","",IF(T272&lt;0,"EOL dépassée",IF(T272&lt;=180,"&lt; 6 mois",IF(T272&lt;=365,"&lt; 12 mois","OK"))))</x:f>
      </x:c>
    </x:row>
    <x:row r="273">
      <x:c r="A273" s="82"/>
      <x:c r="B273" s="82"/>
      <x:c r="C273" s="82"/>
      <x:c r="D273" s="82"/>
      <x:c r="E273" s="82"/>
      <x:c r="F273" s="82"/>
      <x:c r="G273" s="82"/>
      <x:c r="H273" s="82"/>
      <x:c r="I273" s="82"/>
      <x:c r="J273" s="110"/>
      <x:c r="K273" s="82"/>
      <x:c r="L273" s="82"/>
      <x:c r="M273" s="82"/>
      <x:c r="N273" s="82"/>
      <x:c r="O273" s="110"/>
      <x:c r="P273" s="82"/>
      <x:c r="Q273" s="82"/>
      <x:c r="R273" s="82"/>
      <x:c r="S273" s="82"/>
      <x:c r="T273" s="144" t="str">
        <x:f>IF(J273="","",J273-TODAY())</x:f>
      </x:c>
      <x:c r="U273" s="82" t="str">
        <x:f>IF(J273="","",IF(T273&lt;0,"EOL dépassée",IF(T273&lt;=180,"&lt; 6 mois",IF(T273&lt;=365,"&lt; 12 mois","OK"))))</x:f>
      </x:c>
    </x:row>
    <x:row r="274">
      <x:c r="A274" s="82"/>
      <x:c r="B274" s="82"/>
      <x:c r="C274" s="82"/>
      <x:c r="D274" s="82"/>
      <x:c r="E274" s="82"/>
      <x:c r="F274" s="82"/>
      <x:c r="G274" s="82"/>
      <x:c r="H274" s="82"/>
      <x:c r="I274" s="82"/>
      <x:c r="J274" s="110"/>
      <x:c r="K274" s="82"/>
      <x:c r="L274" s="82"/>
      <x:c r="M274" s="82"/>
      <x:c r="N274" s="82"/>
      <x:c r="O274" s="110"/>
      <x:c r="P274" s="82"/>
      <x:c r="Q274" s="82"/>
      <x:c r="R274" s="82"/>
      <x:c r="S274" s="82"/>
      <x:c r="T274" s="144" t="str">
        <x:f>IF(J274="","",J274-TODAY())</x:f>
      </x:c>
      <x:c r="U274" s="82" t="str">
        <x:f>IF(J274="","",IF(T274&lt;0,"EOL dépassée",IF(T274&lt;=180,"&lt; 6 mois",IF(T274&lt;=365,"&lt; 12 mois","OK"))))</x:f>
      </x:c>
    </x:row>
    <x:row r="275">
      <x:c r="A275" s="82"/>
      <x:c r="B275" s="82"/>
      <x:c r="C275" s="82"/>
      <x:c r="D275" s="82"/>
      <x:c r="E275" s="82"/>
      <x:c r="F275" s="82"/>
      <x:c r="G275" s="82"/>
      <x:c r="H275" s="82"/>
      <x:c r="I275" s="82"/>
      <x:c r="J275" s="110"/>
      <x:c r="K275" s="82"/>
      <x:c r="L275" s="82"/>
      <x:c r="M275" s="82"/>
      <x:c r="N275" s="82"/>
      <x:c r="O275" s="110"/>
      <x:c r="P275" s="82"/>
      <x:c r="Q275" s="82"/>
      <x:c r="R275" s="82"/>
      <x:c r="S275" s="82"/>
      <x:c r="T275" s="144" t="str">
        <x:f>IF(J275="","",J275-TODAY())</x:f>
      </x:c>
      <x:c r="U275" s="82" t="str">
        <x:f>IF(J275="","",IF(T275&lt;0,"EOL dépassée",IF(T275&lt;=180,"&lt; 6 mois",IF(T275&lt;=365,"&lt; 12 mois","OK"))))</x:f>
      </x:c>
    </x:row>
    <x:row r="276">
      <x:c r="A276" s="82"/>
      <x:c r="B276" s="82"/>
      <x:c r="C276" s="82"/>
      <x:c r="D276" s="82"/>
      <x:c r="E276" s="82"/>
      <x:c r="F276" s="82"/>
      <x:c r="G276" s="82"/>
      <x:c r="H276" s="82"/>
      <x:c r="I276" s="82"/>
      <x:c r="J276" s="110"/>
      <x:c r="K276" s="82"/>
      <x:c r="L276" s="82"/>
      <x:c r="M276" s="82"/>
      <x:c r="N276" s="82"/>
      <x:c r="O276" s="110"/>
      <x:c r="P276" s="82"/>
      <x:c r="Q276" s="82"/>
      <x:c r="R276" s="82"/>
      <x:c r="S276" s="82"/>
      <x:c r="T276" s="144" t="str">
        <x:f>IF(J276="","",J276-TODAY())</x:f>
      </x:c>
      <x:c r="U276" s="82" t="str">
        <x:f>IF(J276="","",IF(T276&lt;0,"EOL dépassée",IF(T276&lt;=180,"&lt; 6 mois",IF(T276&lt;=365,"&lt; 12 mois","OK"))))</x:f>
      </x:c>
    </x:row>
    <x:row r="277">
      <x:c r="A277" s="82"/>
      <x:c r="B277" s="82"/>
      <x:c r="C277" s="82"/>
      <x:c r="D277" s="82"/>
      <x:c r="E277" s="82"/>
      <x:c r="F277" s="82"/>
      <x:c r="G277" s="82"/>
      <x:c r="H277" s="82"/>
      <x:c r="I277" s="82"/>
      <x:c r="J277" s="110"/>
      <x:c r="K277" s="82"/>
      <x:c r="L277" s="82"/>
      <x:c r="M277" s="82"/>
      <x:c r="N277" s="82"/>
      <x:c r="O277" s="110"/>
      <x:c r="P277" s="82"/>
      <x:c r="Q277" s="82"/>
      <x:c r="R277" s="82"/>
      <x:c r="S277" s="82"/>
      <x:c r="T277" s="144" t="str">
        <x:f>IF(J277="","",J277-TODAY())</x:f>
      </x:c>
      <x:c r="U277" s="82" t="str">
        <x:f>IF(J277="","",IF(T277&lt;0,"EOL dépassée",IF(T277&lt;=180,"&lt; 6 mois",IF(T277&lt;=365,"&lt; 12 mois","OK"))))</x:f>
      </x:c>
    </x:row>
    <x:row r="278">
      <x:c r="A278" s="82"/>
      <x:c r="B278" s="82"/>
      <x:c r="C278" s="82"/>
      <x:c r="D278" s="82"/>
      <x:c r="E278" s="82"/>
      <x:c r="F278" s="82"/>
      <x:c r="G278" s="82"/>
      <x:c r="H278" s="82"/>
      <x:c r="I278" s="82"/>
      <x:c r="J278" s="110"/>
      <x:c r="K278" s="82"/>
      <x:c r="L278" s="82"/>
      <x:c r="M278" s="82"/>
      <x:c r="N278" s="82"/>
      <x:c r="O278" s="110"/>
      <x:c r="P278" s="82"/>
      <x:c r="Q278" s="82"/>
      <x:c r="R278" s="82"/>
      <x:c r="S278" s="82"/>
      <x:c r="T278" s="144" t="str">
        <x:f>IF(J278="","",J278-TODAY())</x:f>
      </x:c>
      <x:c r="U278" s="82" t="str">
        <x:f>IF(J278="","",IF(T278&lt;0,"EOL dépassée",IF(T278&lt;=180,"&lt; 6 mois",IF(T278&lt;=365,"&lt; 12 mois","OK"))))</x:f>
      </x:c>
    </x:row>
    <x:row r="279">
      <x:c r="A279" s="82"/>
      <x:c r="B279" s="82"/>
      <x:c r="C279" s="82"/>
      <x:c r="D279" s="82"/>
      <x:c r="E279" s="82"/>
      <x:c r="F279" s="82"/>
      <x:c r="G279" s="82"/>
      <x:c r="H279" s="82"/>
      <x:c r="I279" s="82"/>
      <x:c r="J279" s="110"/>
      <x:c r="K279" s="82"/>
      <x:c r="L279" s="82"/>
      <x:c r="M279" s="82"/>
      <x:c r="N279" s="82"/>
      <x:c r="O279" s="110"/>
      <x:c r="P279" s="82"/>
      <x:c r="Q279" s="82"/>
      <x:c r="R279" s="82"/>
      <x:c r="S279" s="82"/>
      <x:c r="T279" s="144" t="str">
        <x:f>IF(J279="","",J279-TODAY())</x:f>
      </x:c>
      <x:c r="U279" s="82" t="str">
        <x:f>IF(J279="","",IF(T279&lt;0,"EOL dépassée",IF(T279&lt;=180,"&lt; 6 mois",IF(T279&lt;=365,"&lt; 12 mois","OK"))))</x:f>
      </x:c>
    </x:row>
    <x:row r="280">
      <x:c r="A280" s="82"/>
      <x:c r="B280" s="82"/>
      <x:c r="C280" s="82"/>
      <x:c r="D280" s="82"/>
      <x:c r="E280" s="82"/>
      <x:c r="F280" s="82"/>
      <x:c r="G280" s="82"/>
      <x:c r="H280" s="82"/>
      <x:c r="I280" s="82"/>
      <x:c r="J280" s="110"/>
      <x:c r="K280" s="82"/>
      <x:c r="L280" s="82"/>
      <x:c r="M280" s="82"/>
      <x:c r="N280" s="82"/>
      <x:c r="O280" s="110"/>
      <x:c r="P280" s="82"/>
      <x:c r="Q280" s="82"/>
      <x:c r="R280" s="82"/>
      <x:c r="S280" s="82"/>
      <x:c r="T280" s="144" t="str">
        <x:f>IF(J280="","",J280-TODAY())</x:f>
      </x:c>
      <x:c r="U280" s="82" t="str">
        <x:f>IF(J280="","",IF(T280&lt;0,"EOL dépassée",IF(T280&lt;=180,"&lt; 6 mois",IF(T280&lt;=365,"&lt; 12 mois","OK"))))</x:f>
      </x:c>
    </x:row>
    <x:row r="281">
      <x:c r="A281" s="82"/>
      <x:c r="B281" s="82"/>
      <x:c r="C281" s="82"/>
      <x:c r="D281" s="82"/>
      <x:c r="E281" s="82"/>
      <x:c r="F281" s="82"/>
      <x:c r="G281" s="82"/>
      <x:c r="H281" s="82"/>
      <x:c r="I281" s="82"/>
      <x:c r="J281" s="110"/>
      <x:c r="K281" s="82"/>
      <x:c r="L281" s="82"/>
      <x:c r="M281" s="82"/>
      <x:c r="N281" s="82"/>
      <x:c r="O281" s="110"/>
      <x:c r="P281" s="82"/>
      <x:c r="Q281" s="82"/>
      <x:c r="R281" s="82"/>
      <x:c r="S281" s="82"/>
      <x:c r="T281" s="144" t="str">
        <x:f>IF(J281="","",J281-TODAY())</x:f>
      </x:c>
      <x:c r="U281" s="82" t="str">
        <x:f>IF(J281="","",IF(T281&lt;0,"EOL dépassée",IF(T281&lt;=180,"&lt; 6 mois",IF(T281&lt;=365,"&lt; 12 mois","OK"))))</x:f>
      </x:c>
    </x:row>
    <x:row r="282">
      <x:c r="A282" s="82"/>
      <x:c r="B282" s="82"/>
      <x:c r="C282" s="82"/>
      <x:c r="D282" s="82"/>
      <x:c r="E282" s="82"/>
      <x:c r="F282" s="82"/>
      <x:c r="G282" s="82"/>
      <x:c r="H282" s="82"/>
      <x:c r="I282" s="82"/>
      <x:c r="J282" s="110"/>
      <x:c r="K282" s="82"/>
      <x:c r="L282" s="82"/>
      <x:c r="M282" s="82"/>
      <x:c r="N282" s="82"/>
      <x:c r="O282" s="110"/>
      <x:c r="P282" s="82"/>
      <x:c r="Q282" s="82"/>
      <x:c r="R282" s="82"/>
      <x:c r="S282" s="82"/>
      <x:c r="T282" s="144" t="str">
        <x:f>IF(J282="","",J282-TODAY())</x:f>
      </x:c>
      <x:c r="U282" s="82" t="str">
        <x:f>IF(J282="","",IF(T282&lt;0,"EOL dépassée",IF(T282&lt;=180,"&lt; 6 mois",IF(T282&lt;=365,"&lt; 12 mois","OK"))))</x:f>
      </x:c>
    </x:row>
    <x:row r="283">
      <x:c r="A283" s="82"/>
      <x:c r="B283" s="82"/>
      <x:c r="C283" s="82"/>
      <x:c r="D283" s="82"/>
      <x:c r="E283" s="82"/>
      <x:c r="F283" s="82"/>
      <x:c r="G283" s="82"/>
      <x:c r="H283" s="82"/>
      <x:c r="I283" s="82"/>
      <x:c r="J283" s="110"/>
      <x:c r="K283" s="82"/>
      <x:c r="L283" s="82"/>
      <x:c r="M283" s="82"/>
      <x:c r="N283" s="82"/>
      <x:c r="O283" s="110"/>
      <x:c r="P283" s="82"/>
      <x:c r="Q283" s="82"/>
      <x:c r="R283" s="82"/>
      <x:c r="S283" s="82"/>
      <x:c r="T283" s="144" t="str">
        <x:f>IF(J283="","",J283-TODAY())</x:f>
      </x:c>
      <x:c r="U283" s="82" t="str">
        <x:f>IF(J283="","",IF(T283&lt;0,"EOL dépassée",IF(T283&lt;=180,"&lt; 6 mois",IF(T283&lt;=365,"&lt; 12 mois","OK"))))</x:f>
      </x:c>
    </x:row>
    <x:row r="284">
      <x:c r="A284" s="82"/>
      <x:c r="B284" s="82"/>
      <x:c r="C284" s="82"/>
      <x:c r="D284" s="82"/>
      <x:c r="E284" s="82"/>
      <x:c r="F284" s="82"/>
      <x:c r="G284" s="82"/>
      <x:c r="H284" s="82"/>
      <x:c r="I284" s="82"/>
      <x:c r="J284" s="110"/>
      <x:c r="K284" s="82"/>
      <x:c r="L284" s="82"/>
      <x:c r="M284" s="82"/>
      <x:c r="N284" s="82"/>
      <x:c r="O284" s="110"/>
      <x:c r="P284" s="82"/>
      <x:c r="Q284" s="82"/>
      <x:c r="R284" s="82"/>
      <x:c r="S284" s="82"/>
      <x:c r="T284" s="144" t="str">
        <x:f>IF(J284="","",J284-TODAY())</x:f>
      </x:c>
      <x:c r="U284" s="82" t="str">
        <x:f>IF(J284="","",IF(T284&lt;0,"EOL dépassée",IF(T284&lt;=180,"&lt; 6 mois",IF(T284&lt;=365,"&lt; 12 mois","OK"))))</x:f>
      </x:c>
    </x:row>
    <x:row r="285">
      <x:c r="A285" s="82"/>
      <x:c r="B285" s="82"/>
      <x:c r="C285" s="82"/>
      <x:c r="D285" s="82"/>
      <x:c r="E285" s="82"/>
      <x:c r="F285" s="82"/>
      <x:c r="G285" s="82"/>
      <x:c r="H285" s="82"/>
      <x:c r="I285" s="82"/>
      <x:c r="J285" s="110"/>
      <x:c r="K285" s="82"/>
      <x:c r="L285" s="82"/>
      <x:c r="M285" s="82"/>
      <x:c r="N285" s="82"/>
      <x:c r="O285" s="110"/>
      <x:c r="P285" s="82"/>
      <x:c r="Q285" s="82"/>
      <x:c r="R285" s="82"/>
      <x:c r="S285" s="82"/>
      <x:c r="T285" s="144" t="str">
        <x:f>IF(J285="","",J285-TODAY())</x:f>
      </x:c>
      <x:c r="U285" s="82" t="str">
        <x:f>IF(J285="","",IF(T285&lt;0,"EOL dépassée",IF(T285&lt;=180,"&lt; 6 mois",IF(T285&lt;=365,"&lt; 12 mois","OK"))))</x:f>
      </x:c>
    </x:row>
    <x:row r="286">
      <x:c r="A286" s="82"/>
      <x:c r="B286" s="82"/>
      <x:c r="C286" s="82"/>
      <x:c r="D286" s="82"/>
      <x:c r="E286" s="82"/>
      <x:c r="F286" s="82"/>
      <x:c r="G286" s="82"/>
      <x:c r="H286" s="82"/>
      <x:c r="I286" s="82"/>
      <x:c r="J286" s="110"/>
      <x:c r="K286" s="82"/>
      <x:c r="L286" s="82"/>
      <x:c r="M286" s="82"/>
      <x:c r="N286" s="82"/>
      <x:c r="O286" s="110"/>
      <x:c r="P286" s="82"/>
      <x:c r="Q286" s="82"/>
      <x:c r="R286" s="82"/>
      <x:c r="S286" s="82"/>
      <x:c r="T286" s="144" t="str">
        <x:f>IF(J286="","",J286-TODAY())</x:f>
      </x:c>
      <x:c r="U286" s="82" t="str">
        <x:f>IF(J286="","",IF(T286&lt;0,"EOL dépassée",IF(T286&lt;=180,"&lt; 6 mois",IF(T286&lt;=365,"&lt; 12 mois","OK"))))</x:f>
      </x:c>
    </x:row>
    <x:row r="287">
      <x:c r="A287" s="82"/>
      <x:c r="B287" s="82"/>
      <x:c r="C287" s="82"/>
      <x:c r="D287" s="82"/>
      <x:c r="E287" s="82"/>
      <x:c r="F287" s="82"/>
      <x:c r="G287" s="82"/>
      <x:c r="H287" s="82"/>
      <x:c r="I287" s="82"/>
      <x:c r="J287" s="110"/>
      <x:c r="K287" s="82"/>
      <x:c r="L287" s="82"/>
      <x:c r="M287" s="82"/>
      <x:c r="N287" s="82"/>
      <x:c r="O287" s="110"/>
      <x:c r="P287" s="82"/>
      <x:c r="Q287" s="82"/>
      <x:c r="R287" s="82"/>
      <x:c r="S287" s="82"/>
      <x:c r="T287" s="144" t="str">
        <x:f>IF(J287="","",J287-TODAY())</x:f>
      </x:c>
      <x:c r="U287" s="82" t="str">
        <x:f>IF(J287="","",IF(T287&lt;0,"EOL dépassée",IF(T287&lt;=180,"&lt; 6 mois",IF(T287&lt;=365,"&lt; 12 mois","OK"))))</x:f>
      </x:c>
    </x:row>
    <x:row r="288">
      <x:c r="A288" s="82"/>
      <x:c r="B288" s="82"/>
      <x:c r="C288" s="82"/>
      <x:c r="D288" s="82"/>
      <x:c r="E288" s="82"/>
      <x:c r="F288" s="82"/>
      <x:c r="G288" s="82"/>
      <x:c r="H288" s="82"/>
      <x:c r="I288" s="82"/>
      <x:c r="J288" s="110"/>
      <x:c r="K288" s="82"/>
      <x:c r="L288" s="82"/>
      <x:c r="M288" s="82"/>
      <x:c r="N288" s="82"/>
      <x:c r="O288" s="110"/>
      <x:c r="P288" s="82"/>
      <x:c r="Q288" s="82"/>
      <x:c r="R288" s="82"/>
      <x:c r="S288" s="82"/>
      <x:c r="T288" s="144" t="str">
        <x:f>IF(J288="","",J288-TODAY())</x:f>
      </x:c>
      <x:c r="U288" s="82" t="str">
        <x:f>IF(J288="","",IF(T288&lt;0,"EOL dépassée",IF(T288&lt;=180,"&lt; 6 mois",IF(T288&lt;=365,"&lt; 12 mois","OK"))))</x:f>
      </x:c>
    </x:row>
    <x:row r="289">
      <x:c r="A289" s="82"/>
      <x:c r="B289" s="82"/>
      <x:c r="C289" s="82"/>
      <x:c r="D289" s="82"/>
      <x:c r="E289" s="82"/>
      <x:c r="F289" s="82"/>
      <x:c r="G289" s="82"/>
      <x:c r="H289" s="82"/>
      <x:c r="I289" s="82"/>
      <x:c r="J289" s="110"/>
      <x:c r="K289" s="82"/>
      <x:c r="L289" s="82"/>
      <x:c r="M289" s="82"/>
      <x:c r="N289" s="82"/>
      <x:c r="O289" s="110"/>
      <x:c r="P289" s="82"/>
      <x:c r="Q289" s="82"/>
      <x:c r="R289" s="82"/>
      <x:c r="S289" s="82"/>
      <x:c r="T289" s="144" t="str">
        <x:f>IF(J289="","",J289-TODAY())</x:f>
      </x:c>
      <x:c r="U289" s="82" t="str">
        <x:f>IF(J289="","",IF(T289&lt;0,"EOL dépassée",IF(T289&lt;=180,"&lt; 6 mois",IF(T289&lt;=365,"&lt; 12 mois","OK"))))</x:f>
      </x:c>
    </x:row>
    <x:row r="290">
      <x:c r="A290" s="82"/>
      <x:c r="B290" s="82"/>
      <x:c r="C290" s="82"/>
      <x:c r="D290" s="82"/>
      <x:c r="E290" s="82"/>
      <x:c r="F290" s="82"/>
      <x:c r="G290" s="82"/>
      <x:c r="H290" s="82"/>
      <x:c r="I290" s="82"/>
      <x:c r="J290" s="110"/>
      <x:c r="K290" s="82"/>
      <x:c r="L290" s="82"/>
      <x:c r="M290" s="82"/>
      <x:c r="N290" s="82"/>
      <x:c r="O290" s="110"/>
      <x:c r="P290" s="82"/>
      <x:c r="Q290" s="82"/>
      <x:c r="R290" s="82"/>
      <x:c r="S290" s="82"/>
      <x:c r="T290" s="144" t="str">
        <x:f>IF(J290="","",J290-TODAY())</x:f>
      </x:c>
      <x:c r="U290" s="82" t="str">
        <x:f>IF(J290="","",IF(T290&lt;0,"EOL dépassée",IF(T290&lt;=180,"&lt; 6 mois",IF(T290&lt;=365,"&lt; 12 mois","OK"))))</x:f>
      </x:c>
    </x:row>
    <x:row r="291">
      <x:c r="A291" s="82"/>
      <x:c r="B291" s="82"/>
      <x:c r="C291" s="82"/>
      <x:c r="D291" s="82"/>
      <x:c r="E291" s="82"/>
      <x:c r="F291" s="82"/>
      <x:c r="G291" s="82"/>
      <x:c r="H291" s="82"/>
      <x:c r="I291" s="82"/>
      <x:c r="J291" s="110"/>
      <x:c r="K291" s="82"/>
      <x:c r="L291" s="82"/>
      <x:c r="M291" s="82"/>
      <x:c r="N291" s="82"/>
      <x:c r="O291" s="110"/>
      <x:c r="P291" s="82"/>
      <x:c r="Q291" s="82"/>
      <x:c r="R291" s="82"/>
      <x:c r="S291" s="82"/>
      <x:c r="T291" s="144" t="str">
        <x:f>IF(J291="","",J291-TODAY())</x:f>
      </x:c>
      <x:c r="U291" s="82" t="str">
        <x:f>IF(J291="","",IF(T291&lt;0,"EOL dépassée",IF(T291&lt;=180,"&lt; 6 mois",IF(T291&lt;=365,"&lt; 12 mois","OK"))))</x:f>
      </x:c>
    </x:row>
    <x:row r="292">
      <x:c r="A292" s="82"/>
      <x:c r="B292" s="82"/>
      <x:c r="C292" s="82"/>
      <x:c r="D292" s="82"/>
      <x:c r="E292" s="82"/>
      <x:c r="F292" s="82"/>
      <x:c r="G292" s="82"/>
      <x:c r="H292" s="82"/>
      <x:c r="I292" s="82"/>
      <x:c r="J292" s="110"/>
      <x:c r="K292" s="82"/>
      <x:c r="L292" s="82"/>
      <x:c r="M292" s="82"/>
      <x:c r="N292" s="82"/>
      <x:c r="O292" s="110"/>
      <x:c r="P292" s="82"/>
      <x:c r="Q292" s="82"/>
      <x:c r="R292" s="82"/>
      <x:c r="S292" s="82"/>
      <x:c r="T292" s="144" t="str">
        <x:f>IF(J292="","",J292-TODAY())</x:f>
      </x:c>
      <x:c r="U292" s="82" t="str">
        <x:f>IF(J292="","",IF(T292&lt;0,"EOL dépassée",IF(T292&lt;=180,"&lt; 6 mois",IF(T292&lt;=365,"&lt; 12 mois","OK"))))</x:f>
      </x:c>
    </x:row>
    <x:row r="293">
      <x:c r="A293" s="82"/>
      <x:c r="B293" s="82"/>
      <x:c r="C293" s="82"/>
      <x:c r="D293" s="82"/>
      <x:c r="E293" s="82"/>
      <x:c r="F293" s="82"/>
      <x:c r="G293" s="82"/>
      <x:c r="H293" s="82"/>
      <x:c r="I293" s="82"/>
      <x:c r="J293" s="110"/>
      <x:c r="K293" s="82"/>
      <x:c r="L293" s="82"/>
      <x:c r="M293" s="82"/>
      <x:c r="N293" s="82"/>
      <x:c r="O293" s="110"/>
      <x:c r="P293" s="82"/>
      <x:c r="Q293" s="82"/>
      <x:c r="R293" s="82"/>
      <x:c r="S293" s="82"/>
      <x:c r="T293" s="144" t="str">
        <x:f>IF(J293="","",J293-TODAY())</x:f>
      </x:c>
      <x:c r="U293" s="82" t="str">
        <x:f>IF(J293="","",IF(T293&lt;0,"EOL dépassée",IF(T293&lt;=180,"&lt; 6 mois",IF(T293&lt;=365,"&lt; 12 mois","OK"))))</x:f>
      </x:c>
    </x:row>
    <x:row r="294">
      <x:c r="A294" s="82"/>
      <x:c r="B294" s="82"/>
      <x:c r="C294" s="82"/>
      <x:c r="D294" s="82"/>
      <x:c r="E294" s="82"/>
      <x:c r="F294" s="82"/>
      <x:c r="G294" s="82"/>
      <x:c r="H294" s="82"/>
      <x:c r="I294" s="82"/>
      <x:c r="J294" s="110"/>
      <x:c r="K294" s="82"/>
      <x:c r="L294" s="82"/>
      <x:c r="M294" s="82"/>
      <x:c r="N294" s="82"/>
      <x:c r="O294" s="110"/>
      <x:c r="P294" s="82"/>
      <x:c r="Q294" s="82"/>
      <x:c r="R294" s="82"/>
      <x:c r="S294" s="82"/>
      <x:c r="T294" s="144" t="str">
        <x:f>IF(J294="","",J294-TODAY())</x:f>
      </x:c>
      <x:c r="U294" s="82" t="str">
        <x:f>IF(J294="","",IF(T294&lt;0,"EOL dépassée",IF(T294&lt;=180,"&lt; 6 mois",IF(T294&lt;=365,"&lt; 12 mois","OK"))))</x:f>
      </x:c>
    </x:row>
    <x:row r="295">
      <x:c r="A295" s="82"/>
      <x:c r="B295" s="82"/>
      <x:c r="C295" s="82"/>
      <x:c r="D295" s="82"/>
      <x:c r="E295" s="82"/>
      <x:c r="F295" s="82"/>
      <x:c r="G295" s="82"/>
      <x:c r="H295" s="82"/>
      <x:c r="I295" s="82"/>
      <x:c r="J295" s="110"/>
      <x:c r="K295" s="82"/>
      <x:c r="L295" s="82"/>
      <x:c r="M295" s="82"/>
      <x:c r="N295" s="82"/>
      <x:c r="O295" s="110"/>
      <x:c r="P295" s="82"/>
      <x:c r="Q295" s="82"/>
      <x:c r="R295" s="82"/>
      <x:c r="S295" s="82"/>
      <x:c r="T295" s="144" t="str">
        <x:f>IF(J295="","",J295-TODAY())</x:f>
      </x:c>
      <x:c r="U295" s="82" t="str">
        <x:f>IF(J295="","",IF(T295&lt;0,"EOL dépassée",IF(T295&lt;=180,"&lt; 6 mois",IF(T295&lt;=365,"&lt; 12 mois","OK"))))</x:f>
      </x:c>
    </x:row>
    <x:row r="296">
      <x:c r="A296" s="82"/>
      <x:c r="B296" s="82"/>
      <x:c r="C296" s="82"/>
      <x:c r="D296" s="82"/>
      <x:c r="E296" s="82"/>
      <x:c r="F296" s="82"/>
      <x:c r="G296" s="82"/>
      <x:c r="H296" s="82"/>
      <x:c r="I296" s="82"/>
      <x:c r="J296" s="110"/>
      <x:c r="K296" s="82"/>
      <x:c r="L296" s="82"/>
      <x:c r="M296" s="82"/>
      <x:c r="N296" s="82"/>
      <x:c r="O296" s="110"/>
      <x:c r="P296" s="82"/>
      <x:c r="Q296" s="82"/>
      <x:c r="R296" s="82"/>
      <x:c r="S296" s="82"/>
      <x:c r="T296" s="144" t="str">
        <x:f>IF(J296="","",J296-TODAY())</x:f>
      </x:c>
      <x:c r="U296" s="82" t="str">
        <x:f>IF(J296="","",IF(T296&lt;0,"EOL dépassée",IF(T296&lt;=180,"&lt; 6 mois",IF(T296&lt;=365,"&lt; 12 mois","OK"))))</x:f>
      </x:c>
    </x:row>
    <x:row r="297">
      <x:c r="A297" s="82"/>
      <x:c r="B297" s="82"/>
      <x:c r="C297" s="82"/>
      <x:c r="D297" s="82"/>
      <x:c r="E297" s="82"/>
      <x:c r="F297" s="82"/>
      <x:c r="G297" s="82"/>
      <x:c r="H297" s="82"/>
      <x:c r="I297" s="82"/>
      <x:c r="J297" s="110"/>
      <x:c r="K297" s="82"/>
      <x:c r="L297" s="82"/>
      <x:c r="M297" s="82"/>
      <x:c r="N297" s="82"/>
      <x:c r="O297" s="110"/>
      <x:c r="P297" s="82"/>
      <x:c r="Q297" s="82"/>
      <x:c r="R297" s="82"/>
      <x:c r="S297" s="82"/>
      <x:c r="T297" s="144" t="str">
        <x:f>IF(J297="","",J297-TODAY())</x:f>
      </x:c>
      <x:c r="U297" s="82" t="str">
        <x:f>IF(J297="","",IF(T297&lt;0,"EOL dépassée",IF(T297&lt;=180,"&lt; 6 mois",IF(T297&lt;=365,"&lt; 12 mois","OK"))))</x:f>
      </x:c>
    </x:row>
    <x:row r="298">
      <x:c r="A298" s="82"/>
      <x:c r="B298" s="82"/>
      <x:c r="C298" s="82"/>
      <x:c r="D298" s="82"/>
      <x:c r="E298" s="82"/>
      <x:c r="F298" s="82"/>
      <x:c r="G298" s="82"/>
      <x:c r="H298" s="82"/>
      <x:c r="I298" s="82"/>
      <x:c r="J298" s="110"/>
      <x:c r="K298" s="82"/>
      <x:c r="L298" s="82"/>
      <x:c r="M298" s="82"/>
      <x:c r="N298" s="82"/>
      <x:c r="O298" s="110"/>
      <x:c r="P298" s="82"/>
      <x:c r="Q298" s="82"/>
      <x:c r="R298" s="82"/>
      <x:c r="S298" s="82"/>
      <x:c r="T298" s="144" t="str">
        <x:f>IF(J298="","",J298-TODAY())</x:f>
      </x:c>
      <x:c r="U298" s="82" t="str">
        <x:f>IF(J298="","",IF(T298&lt;0,"EOL dépassée",IF(T298&lt;=180,"&lt; 6 mois",IF(T298&lt;=365,"&lt; 12 mois","OK"))))</x:f>
      </x:c>
    </x:row>
    <x:row r="299">
      <x:c r="A299" s="82"/>
      <x:c r="B299" s="82"/>
      <x:c r="C299" s="82"/>
      <x:c r="D299" s="82"/>
      <x:c r="E299" s="82"/>
      <x:c r="F299" s="82"/>
      <x:c r="G299" s="82"/>
      <x:c r="H299" s="82"/>
      <x:c r="I299" s="82"/>
      <x:c r="J299" s="110"/>
      <x:c r="K299" s="82"/>
      <x:c r="L299" s="82"/>
      <x:c r="M299" s="82"/>
      <x:c r="N299" s="82"/>
      <x:c r="O299" s="110"/>
      <x:c r="P299" s="82"/>
      <x:c r="Q299" s="82"/>
      <x:c r="R299" s="82"/>
      <x:c r="S299" s="82"/>
      <x:c r="T299" s="144" t="str">
        <x:f>IF(J299="","",J299-TODAY())</x:f>
      </x:c>
      <x:c r="U299" s="82" t="str">
        <x:f>IF(J299="","",IF(T299&lt;0,"EOL dépassée",IF(T299&lt;=180,"&lt; 6 mois",IF(T299&lt;=365,"&lt; 12 mois","OK"))))</x:f>
      </x:c>
    </x:row>
    <x:row r="300">
      <x:c r="A300" s="82"/>
      <x:c r="B300" s="82"/>
      <x:c r="C300" s="82"/>
      <x:c r="D300" s="82"/>
      <x:c r="E300" s="82"/>
      <x:c r="F300" s="82"/>
      <x:c r="G300" s="82"/>
      <x:c r="H300" s="82"/>
      <x:c r="I300" s="82"/>
      <x:c r="J300" s="110"/>
      <x:c r="K300" s="82"/>
      <x:c r="L300" s="82"/>
      <x:c r="M300" s="82"/>
      <x:c r="N300" s="82"/>
      <x:c r="O300" s="110"/>
      <x:c r="P300" s="82"/>
      <x:c r="Q300" s="82"/>
      <x:c r="R300" s="82"/>
      <x:c r="S300" s="82"/>
      <x:c r="T300" s="144" t="str">
        <x:f>IF(J300="","",J300-TODAY())</x:f>
      </x:c>
      <x:c r="U300" s="82" t="str">
        <x:f>IF(J300="","",IF(T300&lt;0,"EOL dépassée",IF(T300&lt;=180,"&lt; 6 mois",IF(T300&lt;=365,"&lt; 12 mois","OK"))))</x:f>
      </x:c>
    </x:row>
    <x:row r="301">
      <x:c r="A301" s="82"/>
      <x:c r="B301" s="82"/>
      <x:c r="C301" s="82"/>
      <x:c r="D301" s="82"/>
      <x:c r="E301" s="82"/>
      <x:c r="F301" s="82"/>
      <x:c r="G301" s="82"/>
      <x:c r="H301" s="82"/>
      <x:c r="I301" s="82"/>
      <x:c r="J301" s="110"/>
      <x:c r="K301" s="82"/>
      <x:c r="L301" s="82"/>
      <x:c r="M301" s="82"/>
      <x:c r="N301" s="82"/>
      <x:c r="O301" s="110"/>
      <x:c r="P301" s="82"/>
      <x:c r="Q301" s="82"/>
      <x:c r="R301" s="82"/>
      <x:c r="S301" s="82"/>
      <x:c r="T301" s="144" t="str">
        <x:f>IF(J301="","",J301-TODAY())</x:f>
      </x:c>
      <x:c r="U301" s="82" t="str">
        <x:f>IF(J301="","",IF(T301&lt;0,"EOL dépassée",IF(T301&lt;=180,"&lt; 6 mois",IF(T301&lt;=365,"&lt; 12 mois","OK"))))</x:f>
      </x:c>
    </x:row>
    <x:row r="302">
      <x:c r="A302" s="82"/>
      <x:c r="B302" s="82"/>
      <x:c r="C302" s="82"/>
      <x:c r="D302" s="82"/>
      <x:c r="E302" s="82"/>
      <x:c r="F302" s="82"/>
      <x:c r="G302" s="82"/>
      <x:c r="H302" s="82"/>
      <x:c r="I302" s="82"/>
      <x:c r="J302" s="110"/>
      <x:c r="K302" s="82"/>
      <x:c r="L302" s="82"/>
      <x:c r="M302" s="82"/>
      <x:c r="N302" s="82"/>
      <x:c r="O302" s="110"/>
      <x:c r="P302" s="82"/>
      <x:c r="Q302" s="82"/>
      <x:c r="R302" s="82"/>
      <x:c r="S302" s="82"/>
      <x:c r="T302" s="144" t="str">
        <x:f>IF(J302="","",J302-TODAY())</x:f>
      </x:c>
      <x:c r="U302" s="82" t="str">
        <x:f>IF(J302="","",IF(T302&lt;0,"EOL dépassée",IF(T302&lt;=180,"&lt; 6 mois",IF(T302&lt;=365,"&lt; 12 mois","OK"))))</x:f>
      </x:c>
    </x:row>
    <x:row r="303">
      <x:c r="A303" s="82"/>
      <x:c r="B303" s="82"/>
      <x:c r="C303" s="82"/>
      <x:c r="D303" s="82"/>
      <x:c r="E303" s="82"/>
      <x:c r="F303" s="82"/>
      <x:c r="G303" s="82"/>
      <x:c r="H303" s="82"/>
      <x:c r="I303" s="82"/>
      <x:c r="J303" s="110"/>
      <x:c r="K303" s="82"/>
      <x:c r="L303" s="82"/>
      <x:c r="M303" s="82"/>
      <x:c r="N303" s="82"/>
      <x:c r="O303" s="110"/>
      <x:c r="P303" s="82"/>
      <x:c r="Q303" s="82"/>
      <x:c r="R303" s="82"/>
      <x:c r="S303" s="82"/>
      <x:c r="T303" s="144" t="str">
        <x:f>IF(J303="","",J303-TODAY())</x:f>
      </x:c>
      <x:c r="U303" s="82" t="str">
        <x:f>IF(J303="","",IF(T303&lt;0,"EOL dépassée",IF(T303&lt;=180,"&lt; 6 mois",IF(T303&lt;=365,"&lt; 12 mois","OK"))))</x:f>
      </x:c>
    </x:row>
    <x:row r="304">
      <x:c r="A304" s="82"/>
      <x:c r="B304" s="82"/>
      <x:c r="C304" s="82"/>
      <x:c r="D304" s="82"/>
      <x:c r="E304" s="82"/>
      <x:c r="F304" s="82"/>
      <x:c r="G304" s="82"/>
      <x:c r="H304" s="82"/>
      <x:c r="I304" s="82"/>
      <x:c r="J304" s="110"/>
      <x:c r="K304" s="82"/>
      <x:c r="L304" s="82"/>
      <x:c r="M304" s="82"/>
      <x:c r="N304" s="82"/>
      <x:c r="O304" s="110"/>
      <x:c r="P304" s="82"/>
      <x:c r="Q304" s="82"/>
      <x:c r="R304" s="82"/>
      <x:c r="S304" s="82"/>
      <x:c r="T304" s="144" t="str">
        <x:f>IF(J304="","",J304-TODAY())</x:f>
      </x:c>
      <x:c r="U304" s="82" t="str">
        <x:f>IF(J304="","",IF(T304&lt;0,"EOL dépassée",IF(T304&lt;=180,"&lt; 6 mois",IF(T304&lt;=365,"&lt; 12 mois","OK"))))</x:f>
      </x:c>
    </x:row>
    <x:row r="305">
      <x:c r="A305" s="82"/>
      <x:c r="B305" s="82"/>
      <x:c r="C305" s="82"/>
      <x:c r="D305" s="82"/>
      <x:c r="E305" s="82"/>
      <x:c r="F305" s="82"/>
      <x:c r="G305" s="82"/>
      <x:c r="H305" s="82"/>
      <x:c r="I305" s="82"/>
      <x:c r="J305" s="110"/>
      <x:c r="K305" s="82"/>
      <x:c r="L305" s="82"/>
      <x:c r="M305" s="82"/>
      <x:c r="N305" s="82"/>
      <x:c r="O305" s="110"/>
      <x:c r="P305" s="82"/>
      <x:c r="Q305" s="82"/>
      <x:c r="R305" s="82"/>
      <x:c r="S305" s="82"/>
      <x:c r="T305" s="144" t="str">
        <x:f>IF(J305="","",J305-TODAY())</x:f>
      </x:c>
      <x:c r="U305" s="82" t="str">
        <x:f>IF(J305="","",IF(T305&lt;0,"EOL dépassée",IF(T305&lt;=180,"&lt; 6 mois",IF(T305&lt;=365,"&lt; 12 mois","OK"))))</x:f>
      </x:c>
    </x:row>
    <x:row r="306">
      <x:c r="A306" s="82"/>
      <x:c r="B306" s="82"/>
      <x:c r="C306" s="82"/>
      <x:c r="D306" s="82"/>
      <x:c r="E306" s="82"/>
      <x:c r="F306" s="82"/>
      <x:c r="G306" s="82"/>
      <x:c r="H306" s="82"/>
      <x:c r="I306" s="82"/>
      <x:c r="J306" s="110"/>
      <x:c r="K306" s="82"/>
      <x:c r="L306" s="82"/>
      <x:c r="M306" s="82"/>
      <x:c r="N306" s="82"/>
      <x:c r="O306" s="110"/>
      <x:c r="P306" s="82"/>
      <x:c r="Q306" s="82"/>
      <x:c r="R306" s="82"/>
      <x:c r="S306" s="82"/>
      <x:c r="T306" s="144" t="str">
        <x:f>IF(J306="","",J306-TODAY())</x:f>
      </x:c>
      <x:c r="U306" s="82" t="str">
        <x:f>IF(J306="","",IF(T306&lt;0,"EOL dépassée",IF(T306&lt;=180,"&lt; 6 mois",IF(T306&lt;=365,"&lt; 12 mois","OK"))))</x:f>
      </x:c>
    </x:row>
    <x:row r="307">
      <x:c r="A307" s="82"/>
      <x:c r="B307" s="82"/>
      <x:c r="C307" s="82"/>
      <x:c r="D307" s="82"/>
      <x:c r="E307" s="82"/>
      <x:c r="F307" s="82"/>
      <x:c r="G307" s="82"/>
      <x:c r="H307" s="82"/>
      <x:c r="I307" s="82"/>
      <x:c r="J307" s="110"/>
      <x:c r="K307" s="82"/>
      <x:c r="L307" s="82"/>
      <x:c r="M307" s="82"/>
      <x:c r="N307" s="82"/>
      <x:c r="O307" s="110"/>
      <x:c r="P307" s="82"/>
      <x:c r="Q307" s="82"/>
      <x:c r="R307" s="82"/>
      <x:c r="S307" s="82"/>
      <x:c r="T307" s="144" t="str">
        <x:f>IF(J307="","",J307-TODAY())</x:f>
      </x:c>
      <x:c r="U307" s="82" t="str">
        <x:f>IF(J307="","",IF(T307&lt;0,"EOL dépassée",IF(T307&lt;=180,"&lt; 6 mois",IF(T307&lt;=365,"&lt; 12 mois","OK"))))</x:f>
      </x:c>
    </x:row>
    <x:row r="308">
      <x:c r="A308" s="82"/>
      <x:c r="B308" s="82"/>
      <x:c r="C308" s="82"/>
      <x:c r="D308" s="82"/>
      <x:c r="E308" s="82"/>
      <x:c r="F308" s="82"/>
      <x:c r="G308" s="82"/>
      <x:c r="H308" s="82"/>
      <x:c r="I308" s="82"/>
      <x:c r="J308" s="110"/>
      <x:c r="K308" s="82"/>
      <x:c r="L308" s="82"/>
      <x:c r="M308" s="82"/>
      <x:c r="N308" s="82"/>
      <x:c r="O308" s="110"/>
      <x:c r="P308" s="82"/>
      <x:c r="Q308" s="82"/>
      <x:c r="R308" s="82"/>
      <x:c r="S308" s="82"/>
      <x:c r="T308" s="144" t="str">
        <x:f>IF(J308="","",J308-TODAY())</x:f>
      </x:c>
      <x:c r="U308" s="82" t="str">
        <x:f>IF(J308="","",IF(T308&lt;0,"EOL dépassée",IF(T308&lt;=180,"&lt; 6 mois",IF(T308&lt;=365,"&lt; 12 mois","OK"))))</x:f>
      </x:c>
    </x:row>
    <x:row r="309">
      <x:c r="A309" s="82"/>
      <x:c r="B309" s="82"/>
      <x:c r="C309" s="82"/>
      <x:c r="D309" s="82"/>
      <x:c r="E309" s="82"/>
      <x:c r="F309" s="82"/>
      <x:c r="G309" s="82"/>
      <x:c r="H309" s="82"/>
      <x:c r="I309" s="82"/>
      <x:c r="J309" s="110"/>
      <x:c r="K309" s="82"/>
      <x:c r="L309" s="82"/>
      <x:c r="M309" s="82"/>
      <x:c r="N309" s="82"/>
      <x:c r="O309" s="110"/>
      <x:c r="P309" s="82"/>
      <x:c r="Q309" s="82"/>
      <x:c r="R309" s="82"/>
      <x:c r="S309" s="82"/>
      <x:c r="T309" s="144" t="str">
        <x:f>IF(J309="","",J309-TODAY())</x:f>
      </x:c>
      <x:c r="U309" s="82" t="str">
        <x:f>IF(J309="","",IF(T309&lt;0,"EOL dépassée",IF(T309&lt;=180,"&lt; 6 mois",IF(T309&lt;=365,"&lt; 12 mois","OK"))))</x:f>
      </x:c>
    </x:row>
    <x:row r="310">
      <x:c r="A310" s="82"/>
      <x:c r="B310" s="82"/>
      <x:c r="C310" s="82"/>
      <x:c r="D310" s="82"/>
      <x:c r="E310" s="82"/>
      <x:c r="F310" s="82"/>
      <x:c r="G310" s="82"/>
      <x:c r="H310" s="82"/>
      <x:c r="I310" s="82"/>
      <x:c r="J310" s="110"/>
      <x:c r="K310" s="82"/>
      <x:c r="L310" s="82"/>
      <x:c r="M310" s="82"/>
      <x:c r="N310" s="82"/>
      <x:c r="O310" s="110"/>
      <x:c r="P310" s="82"/>
      <x:c r="Q310" s="82"/>
      <x:c r="R310" s="82"/>
      <x:c r="S310" s="82"/>
      <x:c r="T310" s="144" t="str">
        <x:f>IF(J310="","",J310-TODAY())</x:f>
      </x:c>
      <x:c r="U310" s="82" t="str">
        <x:f>IF(J310="","",IF(T310&lt;0,"EOL dépassée",IF(T310&lt;=180,"&lt; 6 mois",IF(T310&lt;=365,"&lt; 12 mois","OK"))))</x:f>
      </x:c>
    </x:row>
    <x:row r="311">
      <x:c r="A311" s="82"/>
      <x:c r="B311" s="82"/>
      <x:c r="C311" s="82"/>
      <x:c r="D311" s="82"/>
      <x:c r="E311" s="82"/>
      <x:c r="F311" s="82"/>
      <x:c r="G311" s="82"/>
      <x:c r="H311" s="82"/>
      <x:c r="I311" s="82"/>
      <x:c r="J311" s="110"/>
      <x:c r="K311" s="82"/>
      <x:c r="L311" s="82"/>
      <x:c r="M311" s="82"/>
      <x:c r="N311" s="82"/>
      <x:c r="O311" s="110"/>
      <x:c r="P311" s="82"/>
      <x:c r="Q311" s="82"/>
      <x:c r="R311" s="82"/>
      <x:c r="S311" s="82"/>
      <x:c r="T311" s="144" t="str">
        <x:f>IF(J311="","",J311-TODAY())</x:f>
      </x:c>
      <x:c r="U311" s="82" t="str">
        <x:f>IF(J311="","",IF(T311&lt;0,"EOL dépassée",IF(T311&lt;=180,"&lt; 6 mois",IF(T311&lt;=365,"&lt; 12 mois","OK"))))</x:f>
      </x:c>
    </x:row>
    <x:row r="312">
      <x:c r="A312" s="82"/>
      <x:c r="B312" s="82"/>
      <x:c r="C312" s="82"/>
      <x:c r="D312" s="82"/>
      <x:c r="E312" s="82"/>
      <x:c r="F312" s="82"/>
      <x:c r="G312" s="82"/>
      <x:c r="H312" s="82"/>
      <x:c r="I312" s="82"/>
      <x:c r="J312" s="110"/>
      <x:c r="K312" s="82"/>
      <x:c r="L312" s="82"/>
      <x:c r="M312" s="82"/>
      <x:c r="N312" s="82"/>
      <x:c r="O312" s="110"/>
      <x:c r="P312" s="82"/>
      <x:c r="Q312" s="82"/>
      <x:c r="R312" s="82"/>
      <x:c r="S312" s="82"/>
      <x:c r="T312" s="144" t="str">
        <x:f>IF(J312="","",J312-TODAY())</x:f>
      </x:c>
      <x:c r="U312" s="82" t="str">
        <x:f>IF(J312="","",IF(T312&lt;0,"EOL dépassée",IF(T312&lt;=180,"&lt; 6 mois",IF(T312&lt;=365,"&lt; 12 mois","OK"))))</x:f>
      </x:c>
    </x:row>
    <x:row r="313">
      <x:c r="A313" s="82"/>
      <x:c r="B313" s="82"/>
      <x:c r="C313" s="82"/>
      <x:c r="D313" s="82"/>
      <x:c r="E313" s="82"/>
      <x:c r="F313" s="82"/>
      <x:c r="G313" s="82"/>
      <x:c r="H313" s="82"/>
      <x:c r="I313" s="82"/>
      <x:c r="J313" s="110"/>
      <x:c r="K313" s="82"/>
      <x:c r="L313" s="82"/>
      <x:c r="M313" s="82"/>
      <x:c r="N313" s="82"/>
      <x:c r="O313" s="110"/>
      <x:c r="P313" s="82"/>
      <x:c r="Q313" s="82"/>
      <x:c r="R313" s="82"/>
      <x:c r="S313" s="82"/>
      <x:c r="T313" s="144" t="str">
        <x:f>IF(J313="","",J313-TODAY())</x:f>
      </x:c>
      <x:c r="U313" s="82" t="str">
        <x:f>IF(J313="","",IF(T313&lt;0,"EOL dépassée",IF(T313&lt;=180,"&lt; 6 mois",IF(T313&lt;=365,"&lt; 12 mois","OK"))))</x:f>
      </x:c>
    </x:row>
    <x:row r="314">
      <x:c r="A314" s="82"/>
      <x:c r="B314" s="82"/>
      <x:c r="C314" s="82"/>
      <x:c r="D314" s="82"/>
      <x:c r="E314" s="82"/>
      <x:c r="F314" s="82"/>
      <x:c r="G314" s="82"/>
      <x:c r="H314" s="82"/>
      <x:c r="I314" s="82"/>
      <x:c r="J314" s="110"/>
      <x:c r="K314" s="82"/>
      <x:c r="L314" s="82"/>
      <x:c r="M314" s="82"/>
      <x:c r="N314" s="82"/>
      <x:c r="O314" s="110"/>
      <x:c r="P314" s="82"/>
      <x:c r="Q314" s="82"/>
      <x:c r="R314" s="82"/>
      <x:c r="S314" s="82"/>
      <x:c r="T314" s="144" t="str">
        <x:f>IF(J314="","",J314-TODAY())</x:f>
      </x:c>
      <x:c r="U314" s="82" t="str">
        <x:f>IF(J314="","",IF(T314&lt;0,"EOL dépassée",IF(T314&lt;=180,"&lt; 6 mois",IF(T314&lt;=365,"&lt; 12 mois","OK"))))</x:f>
      </x:c>
    </x:row>
    <x:row r="315">
      <x:c r="A315" s="82"/>
      <x:c r="B315" s="82"/>
      <x:c r="C315" s="82"/>
      <x:c r="D315" s="82"/>
      <x:c r="E315" s="82"/>
      <x:c r="F315" s="82"/>
      <x:c r="G315" s="82"/>
      <x:c r="H315" s="82"/>
      <x:c r="I315" s="82"/>
      <x:c r="J315" s="110"/>
      <x:c r="K315" s="82"/>
      <x:c r="L315" s="82"/>
      <x:c r="M315" s="82"/>
      <x:c r="N315" s="82"/>
      <x:c r="O315" s="110"/>
      <x:c r="P315" s="82"/>
      <x:c r="Q315" s="82"/>
      <x:c r="R315" s="82"/>
      <x:c r="S315" s="82"/>
      <x:c r="T315" s="144" t="str">
        <x:f>IF(J315="","",J315-TODAY())</x:f>
      </x:c>
      <x:c r="U315" s="82" t="str">
        <x:f>IF(J315="","",IF(T315&lt;0,"EOL dépassée",IF(T315&lt;=180,"&lt; 6 mois",IF(T315&lt;=365,"&lt; 12 mois","OK"))))</x:f>
      </x:c>
    </x:row>
    <x:row r="316">
      <x:c r="A316" s="82"/>
      <x:c r="B316" s="82"/>
      <x:c r="C316" s="82"/>
      <x:c r="D316" s="82"/>
      <x:c r="E316" s="82"/>
      <x:c r="F316" s="82"/>
      <x:c r="G316" s="82"/>
      <x:c r="H316" s="82"/>
      <x:c r="I316" s="82"/>
      <x:c r="J316" s="110"/>
      <x:c r="K316" s="82"/>
      <x:c r="L316" s="82"/>
      <x:c r="M316" s="82"/>
      <x:c r="N316" s="82"/>
      <x:c r="O316" s="110"/>
      <x:c r="P316" s="82"/>
      <x:c r="Q316" s="82"/>
      <x:c r="R316" s="82"/>
      <x:c r="S316" s="82"/>
      <x:c r="T316" s="144" t="str">
        <x:f>IF(J316="","",J316-TODAY())</x:f>
      </x:c>
      <x:c r="U316" s="82" t="str">
        <x:f>IF(J316="","",IF(T316&lt;0,"EOL dépassée",IF(T316&lt;=180,"&lt; 6 mois",IF(T316&lt;=365,"&lt; 12 mois","OK"))))</x:f>
      </x:c>
    </x:row>
    <x:row r="317">
      <x:c r="A317" s="82"/>
      <x:c r="B317" s="82"/>
      <x:c r="C317" s="82"/>
      <x:c r="D317" s="82"/>
      <x:c r="E317" s="82"/>
      <x:c r="F317" s="82"/>
      <x:c r="G317" s="82"/>
      <x:c r="H317" s="82"/>
      <x:c r="I317" s="82"/>
      <x:c r="J317" s="110"/>
      <x:c r="K317" s="82"/>
      <x:c r="L317" s="82"/>
      <x:c r="M317" s="82"/>
      <x:c r="N317" s="82"/>
      <x:c r="O317" s="110"/>
      <x:c r="P317" s="82"/>
      <x:c r="Q317" s="82"/>
      <x:c r="R317" s="82"/>
      <x:c r="S317" s="82"/>
      <x:c r="T317" s="144" t="str">
        <x:f>IF(J317="","",J317-TODAY())</x:f>
      </x:c>
      <x:c r="U317" s="82" t="str">
        <x:f>IF(J317="","",IF(T317&lt;0,"EOL dépassée",IF(T317&lt;=180,"&lt; 6 mois",IF(T317&lt;=365,"&lt; 12 mois","OK"))))</x:f>
      </x:c>
    </x:row>
    <x:row r="318">
      <x:c r="A318" s="82"/>
      <x:c r="B318" s="82"/>
      <x:c r="C318" s="82"/>
      <x:c r="D318" s="82"/>
      <x:c r="E318" s="82"/>
      <x:c r="F318" s="82"/>
      <x:c r="G318" s="82"/>
      <x:c r="H318" s="82"/>
      <x:c r="I318" s="82"/>
      <x:c r="J318" s="110"/>
      <x:c r="K318" s="82"/>
      <x:c r="L318" s="82"/>
      <x:c r="M318" s="82"/>
      <x:c r="N318" s="82"/>
      <x:c r="O318" s="110"/>
      <x:c r="P318" s="82"/>
      <x:c r="Q318" s="82"/>
      <x:c r="R318" s="82"/>
      <x:c r="S318" s="82"/>
      <x:c r="T318" s="144" t="str">
        <x:f>IF(J318="","",J318-TODAY())</x:f>
      </x:c>
      <x:c r="U318" s="82" t="str">
        <x:f>IF(J318="","",IF(T318&lt;0,"EOL dépassée",IF(T318&lt;=180,"&lt; 6 mois",IF(T318&lt;=365,"&lt; 12 mois","OK"))))</x:f>
      </x:c>
    </x:row>
    <x:row r="319">
      <x:c r="A319" s="82"/>
      <x:c r="B319" s="82"/>
      <x:c r="C319" s="82"/>
      <x:c r="D319" s="82"/>
      <x:c r="E319" s="82"/>
      <x:c r="F319" s="82"/>
      <x:c r="G319" s="82"/>
      <x:c r="H319" s="82"/>
      <x:c r="I319" s="82"/>
      <x:c r="J319" s="110"/>
      <x:c r="K319" s="82"/>
      <x:c r="L319" s="82"/>
      <x:c r="M319" s="82"/>
      <x:c r="N319" s="82"/>
      <x:c r="O319" s="110"/>
      <x:c r="P319" s="82"/>
      <x:c r="Q319" s="82"/>
      <x:c r="R319" s="82"/>
      <x:c r="S319" s="82"/>
      <x:c r="T319" s="144" t="str">
        <x:f>IF(J319="","",J319-TODAY())</x:f>
      </x:c>
      <x:c r="U319" s="82" t="str">
        <x:f>IF(J319="","",IF(T319&lt;0,"EOL dépassée",IF(T319&lt;=180,"&lt; 6 mois",IF(T319&lt;=365,"&lt; 12 mois","OK"))))</x:f>
      </x:c>
    </x:row>
    <x:row r="320">
      <x:c r="A320" s="82"/>
      <x:c r="B320" s="82"/>
      <x:c r="C320" s="82"/>
      <x:c r="D320" s="82"/>
      <x:c r="E320" s="82"/>
      <x:c r="F320" s="82"/>
      <x:c r="G320" s="82"/>
      <x:c r="H320" s="82"/>
      <x:c r="I320" s="82"/>
      <x:c r="J320" s="110"/>
      <x:c r="K320" s="82"/>
      <x:c r="L320" s="82"/>
      <x:c r="M320" s="82"/>
      <x:c r="N320" s="82"/>
      <x:c r="O320" s="110"/>
      <x:c r="P320" s="82"/>
      <x:c r="Q320" s="82"/>
      <x:c r="R320" s="82"/>
      <x:c r="S320" s="82"/>
      <x:c r="T320" s="144" t="str">
        <x:f>IF(J320="","",J320-TODAY())</x:f>
      </x:c>
      <x:c r="U320" s="82" t="str">
        <x:f>IF(J320="","",IF(T320&lt;0,"EOL dépassée",IF(T320&lt;=180,"&lt; 6 mois",IF(T320&lt;=365,"&lt; 12 mois","OK"))))</x:f>
      </x:c>
    </x:row>
    <x:row r="321">
      <x:c r="A321" s="82"/>
      <x:c r="B321" s="82"/>
      <x:c r="C321" s="82"/>
      <x:c r="D321" s="82"/>
      <x:c r="E321" s="82"/>
      <x:c r="F321" s="82"/>
      <x:c r="G321" s="82"/>
      <x:c r="H321" s="82"/>
      <x:c r="I321" s="82"/>
      <x:c r="J321" s="110"/>
      <x:c r="K321" s="82"/>
      <x:c r="L321" s="82"/>
      <x:c r="M321" s="82"/>
      <x:c r="N321" s="82"/>
      <x:c r="O321" s="110"/>
      <x:c r="P321" s="82"/>
      <x:c r="Q321" s="82"/>
      <x:c r="R321" s="82"/>
      <x:c r="S321" s="82"/>
      <x:c r="T321" s="144" t="str">
        <x:f>IF(J321="","",J321-TODAY())</x:f>
      </x:c>
      <x:c r="U321" s="82" t="str">
        <x:f>IF(J321="","",IF(T321&lt;0,"EOL dépassée",IF(T321&lt;=180,"&lt; 6 mois",IF(T321&lt;=365,"&lt; 12 mois","OK"))))</x:f>
      </x:c>
    </x:row>
    <x:row r="322">
      <x:c r="A322" s="82"/>
      <x:c r="B322" s="82"/>
      <x:c r="C322" s="82"/>
      <x:c r="D322" s="82"/>
      <x:c r="E322" s="82"/>
      <x:c r="F322" s="82"/>
      <x:c r="G322" s="82"/>
      <x:c r="H322" s="82"/>
      <x:c r="I322" s="82"/>
      <x:c r="J322" s="110"/>
      <x:c r="K322" s="82"/>
      <x:c r="L322" s="82"/>
      <x:c r="M322" s="82"/>
      <x:c r="N322" s="82"/>
      <x:c r="O322" s="110"/>
      <x:c r="P322" s="82"/>
      <x:c r="Q322" s="82"/>
      <x:c r="R322" s="82"/>
      <x:c r="S322" s="82"/>
      <x:c r="T322" s="144" t="str">
        <x:f>IF(J322="","",J322-TODAY())</x:f>
      </x:c>
      <x:c r="U322" s="82" t="str">
        <x:f>IF(J322="","",IF(T322&lt;0,"EOL dépassée",IF(T322&lt;=180,"&lt; 6 mois",IF(T322&lt;=365,"&lt; 12 mois","OK"))))</x:f>
      </x:c>
    </x:row>
    <x:row r="323">
      <x:c r="A323" s="82"/>
      <x:c r="B323" s="82"/>
      <x:c r="C323" s="82"/>
      <x:c r="D323" s="82"/>
      <x:c r="E323" s="82"/>
      <x:c r="F323" s="82"/>
      <x:c r="G323" s="82"/>
      <x:c r="H323" s="82"/>
      <x:c r="I323" s="82"/>
      <x:c r="J323" s="110"/>
      <x:c r="K323" s="82"/>
      <x:c r="L323" s="82"/>
      <x:c r="M323" s="82"/>
      <x:c r="N323" s="82"/>
      <x:c r="O323" s="110"/>
      <x:c r="P323" s="82"/>
      <x:c r="Q323" s="82"/>
      <x:c r="R323" s="82"/>
      <x:c r="S323" s="82"/>
      <x:c r="T323" s="144" t="str">
        <x:f>IF(J323="","",J323-TODAY())</x:f>
      </x:c>
      <x:c r="U323" s="82" t="str">
        <x:f>IF(J323="","",IF(T323&lt;0,"EOL dépassée",IF(T323&lt;=180,"&lt; 6 mois",IF(T323&lt;=365,"&lt; 12 mois","OK"))))</x:f>
      </x:c>
    </x:row>
    <x:row r="324">
      <x:c r="A324" s="82"/>
      <x:c r="B324" s="82"/>
      <x:c r="C324" s="82"/>
      <x:c r="D324" s="82"/>
      <x:c r="E324" s="82"/>
      <x:c r="F324" s="82"/>
      <x:c r="G324" s="82"/>
      <x:c r="H324" s="82"/>
      <x:c r="I324" s="82"/>
      <x:c r="J324" s="110"/>
      <x:c r="K324" s="82"/>
      <x:c r="L324" s="82"/>
      <x:c r="M324" s="82"/>
      <x:c r="N324" s="82"/>
      <x:c r="O324" s="110"/>
      <x:c r="P324" s="82"/>
      <x:c r="Q324" s="82"/>
      <x:c r="R324" s="82"/>
      <x:c r="S324" s="82"/>
      <x:c r="T324" s="144" t="str">
        <x:f>IF(J324="","",J324-TODAY())</x:f>
      </x:c>
      <x:c r="U324" s="82" t="str">
        <x:f>IF(J324="","",IF(T324&lt;0,"EOL dépassée",IF(T324&lt;=180,"&lt; 6 mois",IF(T324&lt;=365,"&lt; 12 mois","OK"))))</x:f>
      </x:c>
    </x:row>
    <x:row r="325">
      <x:c r="A325" s="82"/>
      <x:c r="B325" s="82"/>
      <x:c r="C325" s="82"/>
      <x:c r="D325" s="82"/>
      <x:c r="E325" s="82"/>
      <x:c r="F325" s="82"/>
      <x:c r="G325" s="82"/>
      <x:c r="H325" s="82"/>
      <x:c r="I325" s="82"/>
      <x:c r="J325" s="110"/>
      <x:c r="K325" s="82"/>
      <x:c r="L325" s="82"/>
      <x:c r="M325" s="82"/>
      <x:c r="N325" s="82"/>
      <x:c r="O325" s="110"/>
      <x:c r="P325" s="82"/>
      <x:c r="Q325" s="82"/>
      <x:c r="R325" s="82"/>
      <x:c r="S325" s="82"/>
      <x:c r="T325" s="144" t="str">
        <x:f>IF(J325="","",J325-TODAY())</x:f>
      </x:c>
      <x:c r="U325" s="82" t="str">
        <x:f>IF(J325="","",IF(T325&lt;0,"EOL dépassée",IF(T325&lt;=180,"&lt; 6 mois",IF(T325&lt;=365,"&lt; 12 mois","OK"))))</x:f>
      </x:c>
    </x:row>
    <x:row r="326">
      <x:c r="A326" s="82"/>
      <x:c r="B326" s="82"/>
      <x:c r="C326" s="82"/>
      <x:c r="D326" s="82"/>
      <x:c r="E326" s="82"/>
      <x:c r="F326" s="82"/>
      <x:c r="G326" s="82"/>
      <x:c r="H326" s="82"/>
      <x:c r="I326" s="82"/>
      <x:c r="J326" s="110"/>
      <x:c r="K326" s="82"/>
      <x:c r="L326" s="82"/>
      <x:c r="M326" s="82"/>
      <x:c r="N326" s="82"/>
      <x:c r="O326" s="110"/>
      <x:c r="P326" s="82"/>
      <x:c r="Q326" s="82"/>
      <x:c r="R326" s="82"/>
      <x:c r="S326" s="82"/>
      <x:c r="T326" s="144" t="str">
        <x:f>IF(J326="","",J326-TODAY())</x:f>
      </x:c>
      <x:c r="U326" s="82" t="str">
        <x:f>IF(J326="","",IF(T326&lt;0,"EOL dépassée",IF(T326&lt;=180,"&lt; 6 mois",IF(T326&lt;=365,"&lt; 12 mois","OK"))))</x:f>
      </x:c>
    </x:row>
    <x:row r="327">
      <x:c r="A327" s="82"/>
      <x:c r="B327" s="82"/>
      <x:c r="C327" s="82"/>
      <x:c r="D327" s="82"/>
      <x:c r="E327" s="82"/>
      <x:c r="F327" s="82"/>
      <x:c r="G327" s="82"/>
      <x:c r="H327" s="82"/>
      <x:c r="I327" s="82"/>
      <x:c r="J327" s="110"/>
      <x:c r="K327" s="82"/>
      <x:c r="L327" s="82"/>
      <x:c r="M327" s="82"/>
      <x:c r="N327" s="82"/>
      <x:c r="O327" s="110"/>
      <x:c r="P327" s="82"/>
      <x:c r="Q327" s="82"/>
      <x:c r="R327" s="82"/>
      <x:c r="S327" s="82"/>
      <x:c r="T327" s="144" t="str">
        <x:f>IF(J327="","",J327-TODAY())</x:f>
      </x:c>
      <x:c r="U327" s="82" t="str">
        <x:f>IF(J327="","",IF(T327&lt;0,"EOL dépassée",IF(T327&lt;=180,"&lt; 6 mois",IF(T327&lt;=365,"&lt; 12 mois","OK"))))</x:f>
      </x:c>
    </x:row>
    <x:row r="328">
      <x:c r="A328" s="82"/>
      <x:c r="B328" s="82"/>
      <x:c r="C328" s="82"/>
      <x:c r="D328" s="82"/>
      <x:c r="E328" s="82"/>
      <x:c r="F328" s="82"/>
      <x:c r="G328" s="82"/>
      <x:c r="H328" s="82"/>
      <x:c r="I328" s="82"/>
      <x:c r="J328" s="110"/>
      <x:c r="K328" s="82"/>
      <x:c r="L328" s="82"/>
      <x:c r="M328" s="82"/>
      <x:c r="N328" s="82"/>
      <x:c r="O328" s="110"/>
      <x:c r="P328" s="82"/>
      <x:c r="Q328" s="82"/>
      <x:c r="R328" s="82"/>
      <x:c r="S328" s="82"/>
      <x:c r="T328" s="144" t="str">
        <x:f>IF(J328="","",J328-TODAY())</x:f>
      </x:c>
      <x:c r="U328" s="82" t="str">
        <x:f>IF(J328="","",IF(T328&lt;0,"EOL dépassée",IF(T328&lt;=180,"&lt; 6 mois",IF(T328&lt;=365,"&lt; 12 mois","OK"))))</x:f>
      </x:c>
    </x:row>
    <x:row r="329">
      <x:c r="A329" s="82"/>
      <x:c r="B329" s="82"/>
      <x:c r="C329" s="82"/>
      <x:c r="D329" s="82"/>
      <x:c r="E329" s="82"/>
      <x:c r="F329" s="82"/>
      <x:c r="G329" s="82"/>
      <x:c r="H329" s="82"/>
      <x:c r="I329" s="82"/>
      <x:c r="J329" s="110"/>
      <x:c r="K329" s="82"/>
      <x:c r="L329" s="82"/>
      <x:c r="M329" s="82"/>
      <x:c r="N329" s="82"/>
      <x:c r="O329" s="110"/>
      <x:c r="P329" s="82"/>
      <x:c r="Q329" s="82"/>
      <x:c r="R329" s="82"/>
      <x:c r="S329" s="82"/>
      <x:c r="T329" s="144" t="str">
        <x:f>IF(J329="","",J329-TODAY())</x:f>
      </x:c>
      <x:c r="U329" s="82" t="str">
        <x:f>IF(J329="","",IF(T329&lt;0,"EOL dépassée",IF(T329&lt;=180,"&lt; 6 mois",IF(T329&lt;=365,"&lt; 12 mois","OK"))))</x:f>
      </x:c>
    </x:row>
    <x:row r="330">
      <x:c r="A330" s="82"/>
      <x:c r="B330" s="82"/>
      <x:c r="C330" s="82"/>
      <x:c r="D330" s="82"/>
      <x:c r="E330" s="82"/>
      <x:c r="F330" s="82"/>
      <x:c r="G330" s="82"/>
      <x:c r="H330" s="82"/>
      <x:c r="I330" s="82"/>
      <x:c r="J330" s="110"/>
      <x:c r="K330" s="82"/>
      <x:c r="L330" s="82"/>
      <x:c r="M330" s="82"/>
      <x:c r="N330" s="82"/>
      <x:c r="O330" s="110"/>
      <x:c r="P330" s="82"/>
      <x:c r="Q330" s="82"/>
      <x:c r="R330" s="82"/>
      <x:c r="S330" s="82"/>
      <x:c r="T330" s="144" t="str">
        <x:f>IF(J330="","",J330-TODAY())</x:f>
      </x:c>
      <x:c r="U330" s="82" t="str">
        <x:f>IF(J330="","",IF(T330&lt;0,"EOL dépassée",IF(T330&lt;=180,"&lt; 6 mois",IF(T330&lt;=365,"&lt; 12 mois","OK"))))</x:f>
      </x:c>
    </x:row>
    <x:row r="331">
      <x:c r="A331" s="82"/>
      <x:c r="B331" s="82"/>
      <x:c r="C331" s="82"/>
      <x:c r="D331" s="82"/>
      <x:c r="E331" s="82"/>
      <x:c r="F331" s="82"/>
      <x:c r="G331" s="82"/>
      <x:c r="H331" s="82"/>
      <x:c r="I331" s="82"/>
      <x:c r="J331" s="110"/>
      <x:c r="K331" s="82"/>
      <x:c r="L331" s="82"/>
      <x:c r="M331" s="82"/>
      <x:c r="N331" s="82"/>
      <x:c r="O331" s="110"/>
      <x:c r="P331" s="82"/>
      <x:c r="Q331" s="82"/>
      <x:c r="R331" s="82"/>
      <x:c r="S331" s="82"/>
      <x:c r="T331" s="144" t="str">
        <x:f>IF(J331="","",J331-TODAY())</x:f>
      </x:c>
      <x:c r="U331" s="82" t="str">
        <x:f>IF(J331="","",IF(T331&lt;0,"EOL dépassée",IF(T331&lt;=180,"&lt; 6 mois",IF(T331&lt;=365,"&lt; 12 mois","OK"))))</x:f>
      </x:c>
    </x:row>
    <x:row r="332">
      <x:c r="A332" s="82"/>
      <x:c r="B332" s="82"/>
      <x:c r="C332" s="82"/>
      <x:c r="D332" s="82"/>
      <x:c r="E332" s="82"/>
      <x:c r="F332" s="82"/>
      <x:c r="G332" s="82"/>
      <x:c r="H332" s="82"/>
      <x:c r="I332" s="82"/>
      <x:c r="J332" s="110"/>
      <x:c r="K332" s="82"/>
      <x:c r="L332" s="82"/>
      <x:c r="M332" s="82"/>
      <x:c r="N332" s="82"/>
      <x:c r="O332" s="110"/>
      <x:c r="P332" s="82"/>
      <x:c r="Q332" s="82"/>
      <x:c r="R332" s="82"/>
      <x:c r="S332" s="82"/>
      <x:c r="T332" s="144" t="str">
        <x:f>IF(J332="","",J332-TODAY())</x:f>
      </x:c>
      <x:c r="U332" s="82" t="str">
        <x:f>IF(J332="","",IF(T332&lt;0,"EOL dépassée",IF(T332&lt;=180,"&lt; 6 mois",IF(T332&lt;=365,"&lt; 12 mois","OK"))))</x:f>
      </x:c>
    </x:row>
    <x:row r="333">
      <x:c r="A333" s="82"/>
      <x:c r="B333" s="82"/>
      <x:c r="C333" s="82"/>
      <x:c r="D333" s="82"/>
      <x:c r="E333" s="82"/>
      <x:c r="F333" s="82"/>
      <x:c r="G333" s="82"/>
      <x:c r="H333" s="82"/>
      <x:c r="I333" s="82"/>
      <x:c r="J333" s="110"/>
      <x:c r="K333" s="82"/>
      <x:c r="L333" s="82"/>
      <x:c r="M333" s="82"/>
      <x:c r="N333" s="82"/>
      <x:c r="O333" s="110"/>
      <x:c r="P333" s="82"/>
      <x:c r="Q333" s="82"/>
      <x:c r="R333" s="82"/>
      <x:c r="S333" s="82"/>
      <x:c r="T333" s="144" t="str">
        <x:f>IF(J333="","",J333-TODAY())</x:f>
      </x:c>
      <x:c r="U333" s="82" t="str">
        <x:f>IF(J333="","",IF(T333&lt;0,"EOL dépassée",IF(T333&lt;=180,"&lt; 6 mois",IF(T333&lt;=365,"&lt; 12 mois","OK"))))</x:f>
      </x:c>
    </x:row>
    <x:row r="334">
      <x:c r="A334" s="82"/>
      <x:c r="B334" s="82"/>
      <x:c r="C334" s="82"/>
      <x:c r="D334" s="82"/>
      <x:c r="E334" s="82"/>
      <x:c r="F334" s="82"/>
      <x:c r="G334" s="82"/>
      <x:c r="H334" s="82"/>
      <x:c r="I334" s="82"/>
      <x:c r="J334" s="110"/>
      <x:c r="K334" s="82"/>
      <x:c r="L334" s="82"/>
      <x:c r="M334" s="82"/>
      <x:c r="N334" s="82"/>
      <x:c r="O334" s="110"/>
      <x:c r="P334" s="82"/>
      <x:c r="Q334" s="82"/>
      <x:c r="R334" s="82"/>
      <x:c r="S334" s="82"/>
      <x:c r="T334" s="144" t="str">
        <x:f>IF(J334="","",J334-TODAY())</x:f>
      </x:c>
      <x:c r="U334" s="82" t="str">
        <x:f>IF(J334="","",IF(T334&lt;0,"EOL dépassée",IF(T334&lt;=180,"&lt; 6 mois",IF(T334&lt;=365,"&lt; 12 mois","OK"))))</x:f>
      </x:c>
    </x:row>
    <x:row r="335">
      <x:c r="A335" s="82"/>
      <x:c r="B335" s="82"/>
      <x:c r="C335" s="82"/>
      <x:c r="D335" s="82"/>
      <x:c r="E335" s="82"/>
      <x:c r="F335" s="82"/>
      <x:c r="G335" s="82"/>
      <x:c r="H335" s="82"/>
      <x:c r="I335" s="82"/>
      <x:c r="J335" s="110"/>
      <x:c r="K335" s="82"/>
      <x:c r="L335" s="82"/>
      <x:c r="M335" s="82"/>
      <x:c r="N335" s="82"/>
      <x:c r="O335" s="110"/>
      <x:c r="P335" s="82"/>
      <x:c r="Q335" s="82"/>
      <x:c r="R335" s="82"/>
      <x:c r="S335" s="82"/>
      <x:c r="T335" s="144" t="str">
        <x:f>IF(J335="","",J335-TODAY())</x:f>
      </x:c>
      <x:c r="U335" s="82" t="str">
        <x:f>IF(J335="","",IF(T335&lt;0,"EOL dépassée",IF(T335&lt;=180,"&lt; 6 mois",IF(T335&lt;=365,"&lt; 12 mois","OK"))))</x:f>
      </x:c>
    </x:row>
    <x:row r="336">
      <x:c r="A336" s="82"/>
      <x:c r="B336" s="82"/>
      <x:c r="C336" s="82"/>
      <x:c r="D336" s="82"/>
      <x:c r="E336" s="82"/>
      <x:c r="F336" s="82"/>
      <x:c r="G336" s="82"/>
      <x:c r="H336" s="82"/>
      <x:c r="I336" s="82"/>
      <x:c r="J336" s="110"/>
      <x:c r="K336" s="82"/>
      <x:c r="L336" s="82"/>
      <x:c r="M336" s="82"/>
      <x:c r="N336" s="82"/>
      <x:c r="O336" s="110"/>
      <x:c r="P336" s="82"/>
      <x:c r="Q336" s="82"/>
      <x:c r="R336" s="82"/>
      <x:c r="S336" s="82"/>
      <x:c r="T336" s="144" t="str">
        <x:f>IF(J336="","",J336-TODAY())</x:f>
      </x:c>
      <x:c r="U336" s="82" t="str">
        <x:f>IF(J336="","",IF(T336&lt;0,"EOL dépassée",IF(T336&lt;=180,"&lt; 6 mois",IF(T336&lt;=365,"&lt; 12 mois","OK"))))</x:f>
      </x:c>
    </x:row>
    <x:row r="337">
      <x:c r="A337" s="82"/>
      <x:c r="B337" s="82"/>
      <x:c r="C337" s="82"/>
      <x:c r="D337" s="82"/>
      <x:c r="E337" s="82"/>
      <x:c r="F337" s="82"/>
      <x:c r="G337" s="82"/>
      <x:c r="H337" s="82"/>
      <x:c r="I337" s="82"/>
      <x:c r="J337" s="110"/>
      <x:c r="K337" s="82"/>
      <x:c r="L337" s="82"/>
      <x:c r="M337" s="82"/>
      <x:c r="N337" s="82"/>
      <x:c r="O337" s="110"/>
      <x:c r="P337" s="82"/>
      <x:c r="Q337" s="82"/>
      <x:c r="R337" s="82"/>
      <x:c r="S337" s="82"/>
      <x:c r="T337" s="144" t="str">
        <x:f>IF(J337="","",J337-TODAY())</x:f>
      </x:c>
      <x:c r="U337" s="82" t="str">
        <x:f>IF(J337="","",IF(T337&lt;0,"EOL dépassée",IF(T337&lt;=180,"&lt; 6 mois",IF(T337&lt;=365,"&lt; 12 mois","OK"))))</x:f>
      </x:c>
    </x:row>
    <x:row r="338">
      <x:c r="A338" s="82"/>
      <x:c r="B338" s="82"/>
      <x:c r="C338" s="82"/>
      <x:c r="D338" s="82"/>
      <x:c r="E338" s="82"/>
      <x:c r="F338" s="82"/>
      <x:c r="G338" s="82"/>
      <x:c r="H338" s="82"/>
      <x:c r="I338" s="82"/>
      <x:c r="J338" s="110"/>
      <x:c r="K338" s="82"/>
      <x:c r="L338" s="82"/>
      <x:c r="M338" s="82"/>
      <x:c r="N338" s="82"/>
      <x:c r="O338" s="110"/>
      <x:c r="P338" s="82"/>
      <x:c r="Q338" s="82"/>
      <x:c r="R338" s="82"/>
      <x:c r="S338" s="82"/>
      <x:c r="T338" s="144" t="str">
        <x:f>IF(J338="","",J338-TODAY())</x:f>
      </x:c>
      <x:c r="U338" s="82" t="str">
        <x:f>IF(J338="","",IF(T338&lt;0,"EOL dépassée",IF(T338&lt;=180,"&lt; 6 mois",IF(T338&lt;=365,"&lt; 12 mois","OK"))))</x:f>
      </x:c>
    </x:row>
    <x:row r="339">
      <x:c r="A339" s="82"/>
      <x:c r="B339" s="82"/>
      <x:c r="C339" s="82"/>
      <x:c r="D339" s="82"/>
      <x:c r="E339" s="82"/>
      <x:c r="F339" s="82"/>
      <x:c r="G339" s="82"/>
      <x:c r="H339" s="82"/>
      <x:c r="I339" s="82"/>
      <x:c r="J339" s="110"/>
      <x:c r="K339" s="82"/>
      <x:c r="L339" s="82"/>
      <x:c r="M339" s="82"/>
      <x:c r="N339" s="82"/>
      <x:c r="O339" s="110"/>
      <x:c r="P339" s="82"/>
      <x:c r="Q339" s="82"/>
      <x:c r="R339" s="82"/>
      <x:c r="S339" s="82"/>
      <x:c r="T339" s="144" t="str">
        <x:f>IF(J339="","",J339-TODAY())</x:f>
      </x:c>
      <x:c r="U339" s="82" t="str">
        <x:f>IF(J339="","",IF(T339&lt;0,"EOL dépassée",IF(T339&lt;=180,"&lt; 6 mois",IF(T339&lt;=365,"&lt; 12 mois","OK"))))</x:f>
      </x:c>
    </x:row>
    <x:row r="340">
      <x:c r="A340" s="82"/>
      <x:c r="B340" s="82"/>
      <x:c r="C340" s="82"/>
      <x:c r="D340" s="82"/>
      <x:c r="E340" s="82"/>
      <x:c r="F340" s="82"/>
      <x:c r="G340" s="82"/>
      <x:c r="H340" s="82"/>
      <x:c r="I340" s="82"/>
      <x:c r="J340" s="110"/>
      <x:c r="K340" s="82"/>
      <x:c r="L340" s="82"/>
      <x:c r="M340" s="82"/>
      <x:c r="N340" s="82"/>
      <x:c r="O340" s="110"/>
      <x:c r="P340" s="82"/>
      <x:c r="Q340" s="82"/>
      <x:c r="R340" s="82"/>
      <x:c r="S340" s="82"/>
      <x:c r="T340" s="144" t="str">
        <x:f>IF(J340="","",J340-TODAY())</x:f>
      </x:c>
      <x:c r="U340" s="82" t="str">
        <x:f>IF(J340="","",IF(T340&lt;0,"EOL dépassée",IF(T340&lt;=180,"&lt; 6 mois",IF(T340&lt;=365,"&lt; 12 mois","OK"))))</x:f>
      </x:c>
    </x:row>
    <x:row r="341">
      <x:c r="A341" s="82"/>
      <x:c r="B341" s="82"/>
      <x:c r="C341" s="82"/>
      <x:c r="D341" s="82"/>
      <x:c r="E341" s="82"/>
      <x:c r="F341" s="82"/>
      <x:c r="G341" s="82"/>
      <x:c r="H341" s="82"/>
      <x:c r="I341" s="82"/>
      <x:c r="J341" s="110"/>
      <x:c r="K341" s="82"/>
      <x:c r="L341" s="82"/>
      <x:c r="M341" s="82"/>
      <x:c r="N341" s="82"/>
      <x:c r="O341" s="110"/>
      <x:c r="P341" s="82"/>
      <x:c r="Q341" s="82"/>
      <x:c r="R341" s="82"/>
      <x:c r="S341" s="82"/>
      <x:c r="T341" s="144" t="str">
        <x:f>IF(J341="","",J341-TODAY())</x:f>
      </x:c>
      <x:c r="U341" s="82" t="str">
        <x:f>IF(J341="","",IF(T341&lt;0,"EOL dépassée",IF(T341&lt;=180,"&lt; 6 mois",IF(T341&lt;=365,"&lt; 12 mois","OK"))))</x:f>
      </x:c>
    </x:row>
    <x:row r="342">
      <x:c r="A342" s="82"/>
      <x:c r="B342" s="82"/>
      <x:c r="C342" s="82"/>
      <x:c r="D342" s="82"/>
      <x:c r="E342" s="82"/>
      <x:c r="F342" s="82"/>
      <x:c r="G342" s="82"/>
      <x:c r="H342" s="82"/>
      <x:c r="I342" s="82"/>
      <x:c r="J342" s="110"/>
      <x:c r="K342" s="82"/>
      <x:c r="L342" s="82"/>
      <x:c r="M342" s="82"/>
      <x:c r="N342" s="82"/>
      <x:c r="O342" s="110"/>
      <x:c r="P342" s="82"/>
      <x:c r="Q342" s="82"/>
      <x:c r="R342" s="82"/>
      <x:c r="S342" s="82"/>
      <x:c r="T342" s="144" t="str">
        <x:f>IF(J342="","",J342-TODAY())</x:f>
      </x:c>
      <x:c r="U342" s="82" t="str">
        <x:f>IF(J342="","",IF(T342&lt;0,"EOL dépassée",IF(T342&lt;=180,"&lt; 6 mois",IF(T342&lt;=365,"&lt; 12 mois","OK"))))</x:f>
      </x:c>
    </x:row>
    <x:row r="343">
      <x:c r="A343" s="82"/>
      <x:c r="B343" s="82"/>
      <x:c r="C343" s="82"/>
      <x:c r="D343" s="82"/>
      <x:c r="E343" s="82"/>
      <x:c r="F343" s="82"/>
      <x:c r="G343" s="82"/>
      <x:c r="H343" s="82"/>
      <x:c r="I343" s="82"/>
      <x:c r="J343" s="110"/>
      <x:c r="K343" s="82"/>
      <x:c r="L343" s="82"/>
      <x:c r="M343" s="82"/>
      <x:c r="N343" s="82"/>
      <x:c r="O343" s="110"/>
      <x:c r="P343" s="82"/>
      <x:c r="Q343" s="82"/>
      <x:c r="R343" s="82"/>
      <x:c r="S343" s="82"/>
      <x:c r="T343" s="144" t="str">
        <x:f>IF(J343="","",J343-TODAY())</x:f>
      </x:c>
      <x:c r="U343" s="82" t="str">
        <x:f>IF(J343="","",IF(T343&lt;0,"EOL dépassée",IF(T343&lt;=180,"&lt; 6 mois",IF(T343&lt;=365,"&lt; 12 mois","OK"))))</x:f>
      </x:c>
    </x:row>
    <x:row r="344">
      <x:c r="A344" s="82"/>
      <x:c r="B344" s="82"/>
      <x:c r="C344" s="82"/>
      <x:c r="D344" s="82"/>
      <x:c r="E344" s="82"/>
      <x:c r="F344" s="82"/>
      <x:c r="G344" s="82"/>
      <x:c r="H344" s="82"/>
      <x:c r="I344" s="82"/>
      <x:c r="J344" s="110"/>
      <x:c r="K344" s="82"/>
      <x:c r="L344" s="82"/>
      <x:c r="M344" s="82"/>
      <x:c r="N344" s="82"/>
      <x:c r="O344" s="110"/>
      <x:c r="P344" s="82"/>
      <x:c r="Q344" s="82"/>
      <x:c r="R344" s="82"/>
      <x:c r="S344" s="82"/>
      <x:c r="T344" s="144" t="str">
        <x:f>IF(J344="","",J344-TODAY())</x:f>
      </x:c>
      <x:c r="U344" s="82" t="str">
        <x:f>IF(J344="","",IF(T344&lt;0,"EOL dépassée",IF(T344&lt;=180,"&lt; 6 mois",IF(T344&lt;=365,"&lt; 12 mois","OK"))))</x:f>
      </x:c>
    </x:row>
    <x:row r="345">
      <x:c r="A345" s="82"/>
      <x:c r="B345" s="82"/>
      <x:c r="C345" s="82"/>
      <x:c r="D345" s="82"/>
      <x:c r="E345" s="82"/>
      <x:c r="F345" s="82"/>
      <x:c r="G345" s="82"/>
      <x:c r="H345" s="82"/>
      <x:c r="I345" s="82"/>
      <x:c r="J345" s="110"/>
      <x:c r="K345" s="82"/>
      <x:c r="L345" s="82"/>
      <x:c r="M345" s="82"/>
      <x:c r="N345" s="82"/>
      <x:c r="O345" s="110"/>
      <x:c r="P345" s="82"/>
      <x:c r="Q345" s="82"/>
      <x:c r="R345" s="82"/>
      <x:c r="S345" s="82"/>
      <x:c r="T345" s="144" t="str">
        <x:f>IF(J345="","",J345-TODAY())</x:f>
      </x:c>
      <x:c r="U345" s="82" t="str">
        <x:f>IF(J345="","",IF(T345&lt;0,"EOL dépassée",IF(T345&lt;=180,"&lt; 6 mois",IF(T345&lt;=365,"&lt; 12 mois","OK"))))</x:f>
      </x:c>
    </x:row>
    <x:row r="346">
      <x:c r="A346" s="82"/>
      <x:c r="B346" s="82"/>
      <x:c r="C346" s="82"/>
      <x:c r="D346" s="82"/>
      <x:c r="E346" s="82"/>
      <x:c r="F346" s="82"/>
      <x:c r="G346" s="82"/>
      <x:c r="H346" s="82"/>
      <x:c r="I346" s="82"/>
      <x:c r="J346" s="110"/>
      <x:c r="K346" s="82"/>
      <x:c r="L346" s="82"/>
      <x:c r="M346" s="82"/>
      <x:c r="N346" s="82"/>
      <x:c r="O346" s="110"/>
      <x:c r="P346" s="82"/>
      <x:c r="Q346" s="82"/>
      <x:c r="R346" s="82"/>
      <x:c r="S346" s="82"/>
      <x:c r="T346" s="144" t="str">
        <x:f>IF(J346="","",J346-TODAY())</x:f>
      </x:c>
      <x:c r="U346" s="82" t="str">
        <x:f>IF(J346="","",IF(T346&lt;0,"EOL dépassée",IF(T346&lt;=180,"&lt; 6 mois",IF(T346&lt;=365,"&lt; 12 mois","OK"))))</x:f>
      </x:c>
    </x:row>
    <x:row r="347">
      <x:c r="A347" s="82"/>
      <x:c r="B347" s="82"/>
      <x:c r="C347" s="82"/>
      <x:c r="D347" s="82"/>
      <x:c r="E347" s="82"/>
      <x:c r="F347" s="82"/>
      <x:c r="G347" s="82"/>
      <x:c r="H347" s="82"/>
      <x:c r="I347" s="82"/>
      <x:c r="J347" s="110"/>
      <x:c r="K347" s="82"/>
      <x:c r="L347" s="82"/>
      <x:c r="M347" s="82"/>
      <x:c r="N347" s="82"/>
      <x:c r="O347" s="110"/>
      <x:c r="P347" s="82"/>
      <x:c r="Q347" s="82"/>
      <x:c r="R347" s="82"/>
      <x:c r="S347" s="82"/>
      <x:c r="T347" s="144" t="str">
        <x:f>IF(J347="","",J347-TODAY())</x:f>
      </x:c>
      <x:c r="U347" s="82" t="str">
        <x:f>IF(J347="","",IF(T347&lt;0,"EOL dépassée",IF(T347&lt;=180,"&lt; 6 mois",IF(T347&lt;=365,"&lt; 12 mois","OK"))))</x:f>
      </x:c>
    </x:row>
    <x:row r="348">
      <x:c r="A348" s="82"/>
      <x:c r="B348" s="82"/>
      <x:c r="C348" s="82"/>
      <x:c r="D348" s="82"/>
      <x:c r="E348" s="82"/>
      <x:c r="F348" s="82"/>
      <x:c r="G348" s="82"/>
      <x:c r="H348" s="82"/>
      <x:c r="I348" s="82"/>
      <x:c r="J348" s="110"/>
      <x:c r="K348" s="82"/>
      <x:c r="L348" s="82"/>
      <x:c r="M348" s="82"/>
      <x:c r="N348" s="82"/>
      <x:c r="O348" s="110"/>
      <x:c r="P348" s="82"/>
      <x:c r="Q348" s="82"/>
      <x:c r="R348" s="82"/>
      <x:c r="S348" s="82"/>
      <x:c r="T348" s="144" t="str">
        <x:f>IF(J348="","",J348-TODAY())</x:f>
      </x:c>
      <x:c r="U348" s="82" t="str">
        <x:f>IF(J348="","",IF(T348&lt;0,"EOL dépassée",IF(T348&lt;=180,"&lt; 6 mois",IF(T348&lt;=365,"&lt; 12 mois","OK"))))</x:f>
      </x:c>
    </x:row>
    <x:row r="349">
      <x:c r="A349" s="82"/>
      <x:c r="B349" s="82"/>
      <x:c r="C349" s="82"/>
      <x:c r="D349" s="82"/>
      <x:c r="E349" s="82"/>
      <x:c r="F349" s="82"/>
      <x:c r="G349" s="82"/>
      <x:c r="H349" s="82"/>
      <x:c r="I349" s="82"/>
      <x:c r="J349" s="110"/>
      <x:c r="K349" s="82"/>
      <x:c r="L349" s="82"/>
      <x:c r="M349" s="82"/>
      <x:c r="N349" s="82"/>
      <x:c r="O349" s="110"/>
      <x:c r="P349" s="82"/>
      <x:c r="Q349" s="82"/>
      <x:c r="R349" s="82"/>
      <x:c r="S349" s="82"/>
      <x:c r="T349" s="144" t="str">
        <x:f>IF(J349="","",J349-TODAY())</x:f>
      </x:c>
      <x:c r="U349" s="82" t="str">
        <x:f>IF(J349="","",IF(T349&lt;0,"EOL dépassée",IF(T349&lt;=180,"&lt; 6 mois",IF(T349&lt;=365,"&lt; 12 mois","OK"))))</x:f>
      </x:c>
    </x:row>
    <x:row r="350">
      <x:c r="A350" s="82"/>
      <x:c r="B350" s="82"/>
      <x:c r="C350" s="82"/>
      <x:c r="D350" s="82"/>
      <x:c r="E350" s="82"/>
      <x:c r="F350" s="82"/>
      <x:c r="G350" s="82"/>
      <x:c r="H350" s="82"/>
      <x:c r="I350" s="82"/>
      <x:c r="J350" s="110"/>
      <x:c r="K350" s="82"/>
      <x:c r="L350" s="82"/>
      <x:c r="M350" s="82"/>
      <x:c r="N350" s="82"/>
      <x:c r="O350" s="110"/>
      <x:c r="P350" s="82"/>
      <x:c r="Q350" s="82"/>
      <x:c r="R350" s="82"/>
      <x:c r="S350" s="82"/>
      <x:c r="T350" s="144" t="str">
        <x:f>IF(J350="","",J350-TODAY())</x:f>
      </x:c>
      <x:c r="U350" s="82" t="str">
        <x:f>IF(J350="","",IF(T350&lt;0,"EOL dépassée",IF(T350&lt;=180,"&lt; 6 mois",IF(T350&lt;=365,"&lt; 12 mois","OK"))))</x:f>
      </x:c>
    </x:row>
    <x:row r="351">
      <x:c r="A351" s="82"/>
      <x:c r="B351" s="82"/>
      <x:c r="C351" s="82"/>
      <x:c r="D351" s="82"/>
      <x:c r="E351" s="82"/>
      <x:c r="F351" s="82"/>
      <x:c r="G351" s="82"/>
      <x:c r="H351" s="82"/>
      <x:c r="I351" s="82"/>
      <x:c r="J351" s="110"/>
      <x:c r="K351" s="82"/>
      <x:c r="L351" s="82"/>
      <x:c r="M351" s="82"/>
      <x:c r="N351" s="82"/>
      <x:c r="O351" s="110"/>
      <x:c r="P351" s="82"/>
      <x:c r="Q351" s="82"/>
      <x:c r="R351" s="82"/>
      <x:c r="S351" s="82"/>
      <x:c r="T351" s="144" t="str">
        <x:f>IF(J351="","",J351-TODAY())</x:f>
      </x:c>
      <x:c r="U351" s="82" t="str">
        <x:f>IF(J351="","",IF(T351&lt;0,"EOL dépassée",IF(T351&lt;=180,"&lt; 6 mois",IF(T351&lt;=365,"&lt; 12 mois","OK"))))</x:f>
      </x:c>
    </x:row>
    <x:row r="352">
      <x:c r="A352" s="82"/>
      <x:c r="B352" s="82"/>
      <x:c r="C352" s="82"/>
      <x:c r="D352" s="82"/>
      <x:c r="E352" s="82"/>
      <x:c r="F352" s="82"/>
      <x:c r="G352" s="82"/>
      <x:c r="H352" s="82"/>
      <x:c r="I352" s="82"/>
      <x:c r="J352" s="110"/>
      <x:c r="K352" s="82"/>
      <x:c r="L352" s="82"/>
      <x:c r="M352" s="82"/>
      <x:c r="N352" s="82"/>
      <x:c r="O352" s="110"/>
      <x:c r="P352" s="82"/>
      <x:c r="Q352" s="82"/>
      <x:c r="R352" s="82"/>
      <x:c r="S352" s="82"/>
      <x:c r="T352" s="144" t="str">
        <x:f>IF(J352="","",J352-TODAY())</x:f>
      </x:c>
      <x:c r="U352" s="82" t="str">
        <x:f>IF(J352="","",IF(T352&lt;0,"EOL dépassée",IF(T352&lt;=180,"&lt; 6 mois",IF(T352&lt;=365,"&lt; 12 mois","OK"))))</x:f>
      </x:c>
    </x:row>
    <x:row r="353">
      <x:c r="A353" s="82"/>
      <x:c r="B353" s="82"/>
      <x:c r="C353" s="82"/>
      <x:c r="D353" s="82"/>
      <x:c r="E353" s="82"/>
      <x:c r="F353" s="82"/>
      <x:c r="G353" s="82"/>
      <x:c r="H353" s="82"/>
      <x:c r="I353" s="82"/>
      <x:c r="J353" s="110"/>
      <x:c r="K353" s="82"/>
      <x:c r="L353" s="82"/>
      <x:c r="M353" s="82"/>
      <x:c r="N353" s="82"/>
      <x:c r="O353" s="110"/>
      <x:c r="P353" s="82"/>
      <x:c r="Q353" s="82"/>
      <x:c r="R353" s="82"/>
      <x:c r="S353" s="82"/>
      <x:c r="T353" s="144" t="str">
        <x:f>IF(J353="","",J353-TODAY())</x:f>
      </x:c>
      <x:c r="U353" s="82" t="str">
        <x:f>IF(J353="","",IF(T353&lt;0,"EOL dépassée",IF(T353&lt;=180,"&lt; 6 mois",IF(T353&lt;=365,"&lt; 12 mois","OK"))))</x:f>
      </x:c>
    </x:row>
    <x:row r="354">
      <x:c r="A354" s="82"/>
      <x:c r="B354" s="82"/>
      <x:c r="C354" s="82"/>
      <x:c r="D354" s="82"/>
      <x:c r="E354" s="82"/>
      <x:c r="F354" s="82"/>
      <x:c r="G354" s="82"/>
      <x:c r="H354" s="82"/>
      <x:c r="I354" s="82"/>
      <x:c r="J354" s="110"/>
      <x:c r="K354" s="82"/>
      <x:c r="L354" s="82"/>
      <x:c r="M354" s="82"/>
      <x:c r="N354" s="82"/>
      <x:c r="O354" s="110"/>
      <x:c r="P354" s="82"/>
      <x:c r="Q354" s="82"/>
      <x:c r="R354" s="82"/>
      <x:c r="S354" s="82"/>
      <x:c r="T354" s="144" t="str">
        <x:f>IF(J354="","",J354-TODAY())</x:f>
      </x:c>
      <x:c r="U354" s="82" t="str">
        <x:f>IF(J354="","",IF(T354&lt;0,"EOL dépassée",IF(T354&lt;=180,"&lt; 6 mois",IF(T354&lt;=365,"&lt; 12 mois","OK"))))</x:f>
      </x:c>
    </x:row>
    <x:row r="355">
      <x:c r="A355" s="82"/>
      <x:c r="B355" s="82"/>
      <x:c r="C355" s="82"/>
      <x:c r="D355" s="82"/>
      <x:c r="E355" s="82"/>
      <x:c r="F355" s="82"/>
      <x:c r="G355" s="82"/>
      <x:c r="H355" s="82"/>
      <x:c r="I355" s="82"/>
      <x:c r="J355" s="110"/>
      <x:c r="K355" s="82"/>
      <x:c r="L355" s="82"/>
      <x:c r="M355" s="82"/>
      <x:c r="N355" s="82"/>
      <x:c r="O355" s="110"/>
      <x:c r="P355" s="82"/>
      <x:c r="Q355" s="82"/>
      <x:c r="R355" s="82"/>
      <x:c r="S355" s="82"/>
      <x:c r="T355" s="144" t="str">
        <x:f>IF(J355="","",J355-TODAY())</x:f>
      </x:c>
      <x:c r="U355" s="82" t="str">
        <x:f>IF(J355="","",IF(T355&lt;0,"EOL dépassée",IF(T355&lt;=180,"&lt; 6 mois",IF(T355&lt;=365,"&lt; 12 mois","OK"))))</x:f>
      </x:c>
    </x:row>
    <x:row r="356">
      <x:c r="A356" s="82"/>
      <x:c r="B356" s="82"/>
      <x:c r="C356" s="82"/>
      <x:c r="D356" s="82"/>
      <x:c r="E356" s="82"/>
      <x:c r="F356" s="82"/>
      <x:c r="G356" s="82"/>
      <x:c r="H356" s="82"/>
      <x:c r="I356" s="82"/>
      <x:c r="J356" s="110"/>
      <x:c r="K356" s="82"/>
      <x:c r="L356" s="82"/>
      <x:c r="M356" s="82"/>
      <x:c r="N356" s="82"/>
      <x:c r="O356" s="110"/>
      <x:c r="P356" s="82"/>
      <x:c r="Q356" s="82"/>
      <x:c r="R356" s="82"/>
      <x:c r="S356" s="82"/>
      <x:c r="T356" s="144" t="str">
        <x:f>IF(J356="","",J356-TODAY())</x:f>
      </x:c>
      <x:c r="U356" s="82" t="str">
        <x:f>IF(J356="","",IF(T356&lt;0,"EOL dépassée",IF(T356&lt;=180,"&lt; 6 mois",IF(T356&lt;=365,"&lt; 12 mois","OK"))))</x:f>
      </x:c>
    </x:row>
    <x:row r="357">
      <x:c r="A357" s="82"/>
      <x:c r="B357" s="82"/>
      <x:c r="C357" s="82"/>
      <x:c r="D357" s="82"/>
      <x:c r="E357" s="82"/>
      <x:c r="F357" s="82"/>
      <x:c r="G357" s="82"/>
      <x:c r="H357" s="82"/>
      <x:c r="I357" s="82"/>
      <x:c r="J357" s="110"/>
      <x:c r="K357" s="82"/>
      <x:c r="L357" s="82"/>
      <x:c r="M357" s="82"/>
      <x:c r="N357" s="82"/>
      <x:c r="O357" s="110"/>
      <x:c r="P357" s="82"/>
      <x:c r="Q357" s="82"/>
      <x:c r="R357" s="82"/>
      <x:c r="S357" s="82"/>
      <x:c r="T357" s="144" t="str">
        <x:f>IF(J357="","",J357-TODAY())</x:f>
      </x:c>
      <x:c r="U357" s="82" t="str">
        <x:f>IF(J357="","",IF(T357&lt;0,"EOL dépassée",IF(T357&lt;=180,"&lt; 6 mois",IF(T357&lt;=365,"&lt; 12 mois","OK"))))</x:f>
      </x:c>
    </x:row>
    <x:row r="358">
      <x:c r="A358" s="82"/>
      <x:c r="B358" s="82"/>
      <x:c r="C358" s="82"/>
      <x:c r="D358" s="82"/>
      <x:c r="E358" s="82"/>
      <x:c r="F358" s="82"/>
      <x:c r="G358" s="82"/>
      <x:c r="H358" s="82"/>
      <x:c r="I358" s="82"/>
      <x:c r="J358" s="110"/>
      <x:c r="K358" s="82"/>
      <x:c r="L358" s="82"/>
      <x:c r="M358" s="82"/>
      <x:c r="N358" s="82"/>
      <x:c r="O358" s="110"/>
      <x:c r="P358" s="82"/>
      <x:c r="Q358" s="82"/>
      <x:c r="R358" s="82"/>
      <x:c r="S358" s="82"/>
      <x:c r="T358" s="144" t="str">
        <x:f>IF(J358="","",J358-TODAY())</x:f>
      </x:c>
      <x:c r="U358" s="82" t="str">
        <x:f>IF(J358="","",IF(T358&lt;0,"EOL dépassée",IF(T358&lt;=180,"&lt; 6 mois",IF(T358&lt;=365,"&lt; 12 mois","OK"))))</x:f>
      </x:c>
    </x:row>
    <x:row r="359">
      <x:c r="A359" s="82"/>
      <x:c r="B359" s="82"/>
      <x:c r="C359" s="82"/>
      <x:c r="D359" s="82"/>
      <x:c r="E359" s="82"/>
      <x:c r="F359" s="82"/>
      <x:c r="G359" s="82"/>
      <x:c r="H359" s="82"/>
      <x:c r="I359" s="82"/>
      <x:c r="J359" s="110"/>
      <x:c r="K359" s="82"/>
      <x:c r="L359" s="82"/>
      <x:c r="M359" s="82"/>
      <x:c r="N359" s="82"/>
      <x:c r="O359" s="110"/>
      <x:c r="P359" s="82"/>
      <x:c r="Q359" s="82"/>
      <x:c r="R359" s="82"/>
      <x:c r="S359" s="82"/>
      <x:c r="T359" s="144" t="str">
        <x:f>IF(J359="","",J359-TODAY())</x:f>
      </x:c>
      <x:c r="U359" s="82" t="str">
        <x:f>IF(J359="","",IF(T359&lt;0,"EOL dépassée",IF(T359&lt;=180,"&lt; 6 mois",IF(T359&lt;=365,"&lt; 12 mois","OK"))))</x:f>
      </x:c>
    </x:row>
    <x:row r="360">
      <x:c r="A360" s="82"/>
      <x:c r="B360" s="82"/>
      <x:c r="C360" s="82"/>
      <x:c r="D360" s="82"/>
      <x:c r="E360" s="82"/>
      <x:c r="F360" s="82"/>
      <x:c r="G360" s="82"/>
      <x:c r="H360" s="82"/>
      <x:c r="I360" s="82"/>
      <x:c r="J360" s="110"/>
      <x:c r="K360" s="82"/>
      <x:c r="L360" s="82"/>
      <x:c r="M360" s="82"/>
      <x:c r="N360" s="82"/>
      <x:c r="O360" s="110"/>
      <x:c r="P360" s="82"/>
      <x:c r="Q360" s="82"/>
      <x:c r="R360" s="82"/>
      <x:c r="S360" s="82"/>
      <x:c r="T360" s="144" t="str">
        <x:f>IF(J360="","",J360-TODAY())</x:f>
      </x:c>
      <x:c r="U360" s="82" t="str">
        <x:f>IF(J360="","",IF(T360&lt;0,"EOL dépassée",IF(T360&lt;=180,"&lt; 6 mois",IF(T360&lt;=365,"&lt; 12 mois","OK"))))</x:f>
      </x:c>
    </x:row>
    <x:row r="361">
      <x:c r="A361" s="82"/>
      <x:c r="B361" s="82"/>
      <x:c r="C361" s="82"/>
      <x:c r="D361" s="82"/>
      <x:c r="E361" s="82"/>
      <x:c r="F361" s="82"/>
      <x:c r="G361" s="82"/>
      <x:c r="H361" s="82"/>
      <x:c r="I361" s="82"/>
      <x:c r="J361" s="110"/>
      <x:c r="K361" s="82"/>
      <x:c r="L361" s="82"/>
      <x:c r="M361" s="82"/>
      <x:c r="N361" s="82"/>
      <x:c r="O361" s="110"/>
      <x:c r="P361" s="82"/>
      <x:c r="Q361" s="82"/>
      <x:c r="R361" s="82"/>
      <x:c r="S361" s="82"/>
      <x:c r="T361" s="144" t="str">
        <x:f>IF(J361="","",J361-TODAY())</x:f>
      </x:c>
      <x:c r="U361" s="82" t="str">
        <x:f>IF(J361="","",IF(T361&lt;0,"EOL dépassée",IF(T361&lt;=180,"&lt; 6 mois",IF(T361&lt;=365,"&lt; 12 mois","OK"))))</x:f>
      </x:c>
    </x:row>
    <x:row r="362">
      <x:c r="A362" s="82"/>
      <x:c r="B362" s="82"/>
      <x:c r="C362" s="82"/>
      <x:c r="D362" s="82"/>
      <x:c r="E362" s="82"/>
      <x:c r="F362" s="82"/>
      <x:c r="G362" s="82"/>
      <x:c r="H362" s="82"/>
      <x:c r="I362" s="82"/>
      <x:c r="J362" s="110"/>
      <x:c r="K362" s="82"/>
      <x:c r="L362" s="82"/>
      <x:c r="M362" s="82"/>
      <x:c r="N362" s="82"/>
      <x:c r="O362" s="110"/>
      <x:c r="P362" s="82"/>
      <x:c r="Q362" s="82"/>
      <x:c r="R362" s="82"/>
      <x:c r="S362" s="82"/>
      <x:c r="T362" s="144" t="str">
        <x:f>IF(J362="","",J362-TODAY())</x:f>
      </x:c>
      <x:c r="U362" s="82" t="str">
        <x:f>IF(J362="","",IF(T362&lt;0,"EOL dépassée",IF(T362&lt;=180,"&lt; 6 mois",IF(T362&lt;=365,"&lt; 12 mois","OK"))))</x:f>
      </x:c>
    </x:row>
    <x:row r="363">
      <x:c r="A363" s="82"/>
      <x:c r="B363" s="82"/>
      <x:c r="C363" s="82"/>
      <x:c r="D363" s="82"/>
      <x:c r="E363" s="82"/>
      <x:c r="F363" s="82"/>
      <x:c r="G363" s="82"/>
      <x:c r="H363" s="82"/>
      <x:c r="I363" s="82"/>
      <x:c r="J363" s="110"/>
      <x:c r="K363" s="82"/>
      <x:c r="L363" s="82"/>
      <x:c r="M363" s="82"/>
      <x:c r="N363" s="82"/>
      <x:c r="O363" s="110"/>
      <x:c r="P363" s="82"/>
      <x:c r="Q363" s="82"/>
      <x:c r="R363" s="82"/>
      <x:c r="S363" s="82"/>
      <x:c r="T363" s="144" t="str">
        <x:f>IF(J363="","",J363-TODAY())</x:f>
      </x:c>
      <x:c r="U363" s="82" t="str">
        <x:f>IF(J363="","",IF(T363&lt;0,"EOL dépassée",IF(T363&lt;=180,"&lt; 6 mois",IF(T363&lt;=365,"&lt; 12 mois","OK"))))</x:f>
      </x:c>
    </x:row>
    <x:row r="364">
      <x:c r="A364" s="82"/>
      <x:c r="B364" s="82"/>
      <x:c r="C364" s="82"/>
      <x:c r="D364" s="82"/>
      <x:c r="E364" s="82"/>
      <x:c r="F364" s="82"/>
      <x:c r="G364" s="82"/>
      <x:c r="H364" s="82"/>
      <x:c r="I364" s="82"/>
      <x:c r="J364" s="110"/>
      <x:c r="K364" s="82"/>
      <x:c r="L364" s="82"/>
      <x:c r="M364" s="82"/>
      <x:c r="N364" s="82"/>
      <x:c r="O364" s="110"/>
      <x:c r="P364" s="82"/>
      <x:c r="Q364" s="82"/>
      <x:c r="R364" s="82"/>
      <x:c r="S364" s="82"/>
      <x:c r="T364" s="144" t="str">
        <x:f>IF(J364="","",J364-TODAY())</x:f>
      </x:c>
      <x:c r="U364" s="82" t="str">
        <x:f>IF(J364="","",IF(T364&lt;0,"EOL dépassée",IF(T364&lt;=180,"&lt; 6 mois",IF(T364&lt;=365,"&lt; 12 mois","OK"))))</x:f>
      </x:c>
    </x:row>
    <x:row r="365">
      <x:c r="A365" s="82"/>
      <x:c r="B365" s="82"/>
      <x:c r="C365" s="82"/>
      <x:c r="D365" s="82"/>
      <x:c r="E365" s="82"/>
      <x:c r="F365" s="82"/>
      <x:c r="G365" s="82"/>
      <x:c r="H365" s="82"/>
      <x:c r="I365" s="82"/>
      <x:c r="J365" s="110"/>
      <x:c r="K365" s="82"/>
      <x:c r="L365" s="82"/>
      <x:c r="M365" s="82"/>
      <x:c r="N365" s="82"/>
      <x:c r="O365" s="110"/>
      <x:c r="P365" s="82"/>
      <x:c r="Q365" s="82"/>
      <x:c r="R365" s="82"/>
      <x:c r="S365" s="82"/>
      <x:c r="T365" s="144" t="str">
        <x:f>IF(J365="","",J365-TODAY())</x:f>
      </x:c>
      <x:c r="U365" s="82" t="str">
        <x:f>IF(J365="","",IF(T365&lt;0,"EOL dépassée",IF(T365&lt;=180,"&lt; 6 mois",IF(T365&lt;=365,"&lt; 12 mois","OK"))))</x:f>
      </x:c>
    </x:row>
    <x:row r="366">
      <x:c r="A366" s="82"/>
      <x:c r="B366" s="82"/>
      <x:c r="C366" s="82"/>
      <x:c r="D366" s="82"/>
      <x:c r="E366" s="82"/>
      <x:c r="F366" s="82"/>
      <x:c r="G366" s="82"/>
      <x:c r="H366" s="82"/>
      <x:c r="I366" s="82"/>
      <x:c r="J366" s="110"/>
      <x:c r="K366" s="82"/>
      <x:c r="L366" s="82"/>
      <x:c r="M366" s="82"/>
      <x:c r="N366" s="82"/>
      <x:c r="O366" s="110"/>
      <x:c r="P366" s="82"/>
      <x:c r="Q366" s="82"/>
      <x:c r="R366" s="82"/>
      <x:c r="S366" s="82"/>
      <x:c r="T366" s="144" t="str">
        <x:f>IF(J366="","",J366-TODAY())</x:f>
      </x:c>
      <x:c r="U366" s="82" t="str">
        <x:f>IF(J366="","",IF(T366&lt;0,"EOL dépassée",IF(T366&lt;=180,"&lt; 6 mois",IF(T366&lt;=365,"&lt; 12 mois","OK"))))</x:f>
      </x:c>
    </x:row>
    <x:row r="367">
      <x:c r="A367" s="82"/>
      <x:c r="B367" s="82"/>
      <x:c r="C367" s="82"/>
      <x:c r="D367" s="82"/>
      <x:c r="E367" s="82"/>
      <x:c r="F367" s="82"/>
      <x:c r="G367" s="82"/>
      <x:c r="H367" s="82"/>
      <x:c r="I367" s="82"/>
      <x:c r="J367" s="110"/>
      <x:c r="K367" s="82"/>
      <x:c r="L367" s="82"/>
      <x:c r="M367" s="82"/>
      <x:c r="N367" s="82"/>
      <x:c r="O367" s="110"/>
      <x:c r="P367" s="82"/>
      <x:c r="Q367" s="82"/>
      <x:c r="R367" s="82"/>
      <x:c r="S367" s="82"/>
      <x:c r="T367" s="144" t="str">
        <x:f>IF(J367="","",J367-TODAY())</x:f>
      </x:c>
      <x:c r="U367" s="82" t="str">
        <x:f>IF(J367="","",IF(T367&lt;0,"EOL dépassée",IF(T367&lt;=180,"&lt; 6 mois",IF(T367&lt;=365,"&lt; 12 mois","OK"))))</x:f>
      </x:c>
    </x:row>
    <x:row r="368">
      <x:c r="A368" s="82"/>
      <x:c r="B368" s="82"/>
      <x:c r="C368" s="82"/>
      <x:c r="D368" s="82"/>
      <x:c r="E368" s="82"/>
      <x:c r="F368" s="82"/>
      <x:c r="G368" s="82"/>
      <x:c r="H368" s="82"/>
      <x:c r="I368" s="82"/>
      <x:c r="J368" s="110"/>
      <x:c r="K368" s="82"/>
      <x:c r="L368" s="82"/>
      <x:c r="M368" s="82"/>
      <x:c r="N368" s="82"/>
      <x:c r="O368" s="110"/>
      <x:c r="P368" s="82"/>
      <x:c r="Q368" s="82"/>
      <x:c r="R368" s="82"/>
      <x:c r="S368" s="82"/>
      <x:c r="T368" s="144" t="str">
        <x:f>IF(J368="","",J368-TODAY())</x:f>
      </x:c>
      <x:c r="U368" s="82" t="str">
        <x:f>IF(J368="","",IF(T368&lt;0,"EOL dépassée",IF(T368&lt;=180,"&lt; 6 mois",IF(T368&lt;=365,"&lt; 12 mois","OK"))))</x:f>
      </x:c>
    </x:row>
    <x:row r="369">
      <x:c r="A369" s="82"/>
      <x:c r="B369" s="82"/>
      <x:c r="C369" s="82"/>
      <x:c r="D369" s="82"/>
      <x:c r="E369" s="82"/>
      <x:c r="F369" s="82"/>
      <x:c r="G369" s="82"/>
      <x:c r="H369" s="82"/>
      <x:c r="I369" s="82"/>
      <x:c r="J369" s="110"/>
      <x:c r="K369" s="82"/>
      <x:c r="L369" s="82"/>
      <x:c r="M369" s="82"/>
      <x:c r="N369" s="82"/>
      <x:c r="O369" s="110"/>
      <x:c r="P369" s="82"/>
      <x:c r="Q369" s="82"/>
      <x:c r="R369" s="82"/>
      <x:c r="S369" s="82"/>
      <x:c r="T369" s="144" t="str">
        <x:f>IF(J369="","",J369-TODAY())</x:f>
      </x:c>
      <x:c r="U369" s="82" t="str">
        <x:f>IF(J369="","",IF(T369&lt;0,"EOL dépassée",IF(T369&lt;=180,"&lt; 6 mois",IF(T369&lt;=365,"&lt; 12 mois","OK"))))</x:f>
      </x:c>
    </x:row>
    <x:row r="370">
      <x:c r="A370" s="82"/>
      <x:c r="B370" s="82"/>
      <x:c r="C370" s="82"/>
      <x:c r="D370" s="82"/>
      <x:c r="E370" s="82"/>
      <x:c r="F370" s="82"/>
      <x:c r="G370" s="82"/>
      <x:c r="H370" s="82"/>
      <x:c r="I370" s="82"/>
      <x:c r="J370" s="110"/>
      <x:c r="K370" s="82"/>
      <x:c r="L370" s="82"/>
      <x:c r="M370" s="82"/>
      <x:c r="N370" s="82"/>
      <x:c r="O370" s="110"/>
      <x:c r="P370" s="82"/>
      <x:c r="Q370" s="82"/>
      <x:c r="R370" s="82"/>
      <x:c r="S370" s="82"/>
      <x:c r="T370" s="144" t="str">
        <x:f>IF(J370="","",J370-TODAY())</x:f>
      </x:c>
      <x:c r="U370" s="82" t="str">
        <x:f>IF(J370="","",IF(T370&lt;0,"EOL dépassée",IF(T370&lt;=180,"&lt; 6 mois",IF(T370&lt;=365,"&lt; 12 mois","OK"))))</x:f>
      </x:c>
    </x:row>
    <x:row r="371">
      <x:c r="A371" s="82"/>
      <x:c r="B371" s="82"/>
      <x:c r="C371" s="82"/>
      <x:c r="D371" s="82"/>
      <x:c r="E371" s="82"/>
      <x:c r="F371" s="82"/>
      <x:c r="G371" s="82"/>
      <x:c r="H371" s="82"/>
      <x:c r="I371" s="82"/>
      <x:c r="J371" s="110"/>
      <x:c r="K371" s="82"/>
      <x:c r="L371" s="82"/>
      <x:c r="M371" s="82"/>
      <x:c r="N371" s="82"/>
      <x:c r="O371" s="110"/>
      <x:c r="P371" s="82"/>
      <x:c r="Q371" s="82"/>
      <x:c r="R371" s="82"/>
      <x:c r="S371" s="82"/>
      <x:c r="T371" s="144" t="str">
        <x:f>IF(J371="","",J371-TODAY())</x:f>
      </x:c>
      <x:c r="U371" s="82" t="str">
        <x:f>IF(J371="","",IF(T371&lt;0,"EOL dépassée",IF(T371&lt;=180,"&lt; 6 mois",IF(T371&lt;=365,"&lt; 12 mois","OK"))))</x:f>
      </x:c>
    </x:row>
    <x:row r="372">
      <x:c r="A372" s="82"/>
      <x:c r="B372" s="82"/>
      <x:c r="C372" s="82"/>
      <x:c r="D372" s="82"/>
      <x:c r="E372" s="82"/>
      <x:c r="F372" s="82"/>
      <x:c r="G372" s="82"/>
      <x:c r="H372" s="82"/>
      <x:c r="I372" s="82"/>
      <x:c r="J372" s="110"/>
      <x:c r="K372" s="82"/>
      <x:c r="L372" s="82"/>
      <x:c r="M372" s="82"/>
      <x:c r="N372" s="82"/>
      <x:c r="O372" s="110"/>
      <x:c r="P372" s="82"/>
      <x:c r="Q372" s="82"/>
      <x:c r="R372" s="82"/>
      <x:c r="S372" s="82"/>
      <x:c r="T372" s="144" t="str">
        <x:f>IF(J372="","",J372-TODAY())</x:f>
      </x:c>
      <x:c r="U372" s="82" t="str">
        <x:f>IF(J372="","",IF(T372&lt;0,"EOL dépassée",IF(T372&lt;=180,"&lt; 6 mois",IF(T372&lt;=365,"&lt; 12 mois","OK"))))</x:f>
      </x:c>
    </x:row>
    <x:row r="373">
      <x:c r="A373" s="82"/>
      <x:c r="B373" s="82"/>
      <x:c r="C373" s="82"/>
      <x:c r="D373" s="82"/>
      <x:c r="E373" s="82"/>
      <x:c r="F373" s="82"/>
      <x:c r="G373" s="82"/>
      <x:c r="H373" s="82"/>
      <x:c r="I373" s="82"/>
      <x:c r="J373" s="110"/>
      <x:c r="K373" s="82"/>
      <x:c r="L373" s="82"/>
      <x:c r="M373" s="82"/>
      <x:c r="N373" s="82"/>
      <x:c r="O373" s="110"/>
      <x:c r="P373" s="82"/>
      <x:c r="Q373" s="82"/>
      <x:c r="R373" s="82"/>
      <x:c r="S373" s="82"/>
      <x:c r="T373" s="144" t="str">
        <x:f>IF(J373="","",J373-TODAY())</x:f>
      </x:c>
      <x:c r="U373" s="82" t="str">
        <x:f>IF(J373="","",IF(T373&lt;0,"EOL dépassée",IF(T373&lt;=180,"&lt; 6 mois",IF(T373&lt;=365,"&lt; 12 mois","OK"))))</x:f>
      </x:c>
    </x:row>
    <x:row r="374">
      <x:c r="A374" s="82"/>
      <x:c r="B374" s="82"/>
      <x:c r="C374" s="82"/>
      <x:c r="D374" s="82"/>
      <x:c r="E374" s="82"/>
      <x:c r="F374" s="82"/>
      <x:c r="G374" s="82"/>
      <x:c r="H374" s="82"/>
      <x:c r="I374" s="82"/>
      <x:c r="J374" s="110"/>
      <x:c r="K374" s="82"/>
      <x:c r="L374" s="82"/>
      <x:c r="M374" s="82"/>
      <x:c r="N374" s="82"/>
      <x:c r="O374" s="110"/>
      <x:c r="P374" s="82"/>
      <x:c r="Q374" s="82"/>
      <x:c r="R374" s="82"/>
      <x:c r="S374" s="82"/>
      <x:c r="T374" s="144" t="str">
        <x:f>IF(J374="","",J374-TODAY())</x:f>
      </x:c>
      <x:c r="U374" s="82" t="str">
        <x:f>IF(J374="","",IF(T374&lt;0,"EOL dépassée",IF(T374&lt;=180,"&lt; 6 mois",IF(T374&lt;=365,"&lt; 12 mois","OK"))))</x:f>
      </x:c>
    </x:row>
    <x:row r="375">
      <x:c r="A375" s="82"/>
      <x:c r="B375" s="82"/>
      <x:c r="C375" s="82"/>
      <x:c r="D375" s="82"/>
      <x:c r="E375" s="82"/>
      <x:c r="F375" s="82"/>
      <x:c r="G375" s="82"/>
      <x:c r="H375" s="82"/>
      <x:c r="I375" s="82"/>
      <x:c r="J375" s="110"/>
      <x:c r="K375" s="82"/>
      <x:c r="L375" s="82"/>
      <x:c r="M375" s="82"/>
      <x:c r="N375" s="82"/>
      <x:c r="O375" s="110"/>
      <x:c r="P375" s="82"/>
      <x:c r="Q375" s="82"/>
      <x:c r="R375" s="82"/>
      <x:c r="S375" s="82"/>
      <x:c r="T375" s="144" t="str">
        <x:f>IF(J375="","",J375-TODAY())</x:f>
      </x:c>
      <x:c r="U375" s="82" t="str">
        <x:f>IF(J375="","",IF(T375&lt;0,"EOL dépassée",IF(T375&lt;=180,"&lt; 6 mois",IF(T375&lt;=365,"&lt; 12 mois","OK"))))</x:f>
      </x:c>
    </x:row>
    <x:row r="376">
      <x:c r="A376" s="82"/>
      <x:c r="B376" s="82"/>
      <x:c r="C376" s="82"/>
      <x:c r="D376" s="82"/>
      <x:c r="E376" s="82"/>
      <x:c r="F376" s="82"/>
      <x:c r="G376" s="82"/>
      <x:c r="H376" s="82"/>
      <x:c r="I376" s="82"/>
      <x:c r="J376" s="110"/>
      <x:c r="K376" s="82"/>
      <x:c r="L376" s="82"/>
      <x:c r="M376" s="82"/>
      <x:c r="N376" s="82"/>
      <x:c r="O376" s="110"/>
      <x:c r="P376" s="82"/>
      <x:c r="Q376" s="82"/>
      <x:c r="R376" s="82"/>
      <x:c r="S376" s="82"/>
      <x:c r="T376" s="144" t="str">
        <x:f>IF(J376="","",J376-TODAY())</x:f>
      </x:c>
      <x:c r="U376" s="82" t="str">
        <x:f>IF(J376="","",IF(T376&lt;0,"EOL dépassée",IF(T376&lt;=180,"&lt; 6 mois",IF(T376&lt;=365,"&lt; 12 mois","OK"))))</x:f>
      </x:c>
    </x:row>
    <x:row r="377">
      <x:c r="A377" s="82"/>
      <x:c r="B377" s="82"/>
      <x:c r="C377" s="82"/>
      <x:c r="D377" s="82"/>
      <x:c r="E377" s="82"/>
      <x:c r="F377" s="82"/>
      <x:c r="G377" s="82"/>
      <x:c r="H377" s="82"/>
      <x:c r="I377" s="82"/>
      <x:c r="J377" s="110"/>
      <x:c r="K377" s="82"/>
      <x:c r="L377" s="82"/>
      <x:c r="M377" s="82"/>
      <x:c r="N377" s="82"/>
      <x:c r="O377" s="110"/>
      <x:c r="P377" s="82"/>
      <x:c r="Q377" s="82"/>
      <x:c r="R377" s="82"/>
      <x:c r="S377" s="82"/>
      <x:c r="T377" s="144" t="str">
        <x:f>IF(J377="","",J377-TODAY())</x:f>
      </x:c>
      <x:c r="U377" s="82" t="str">
        <x:f>IF(J377="","",IF(T377&lt;0,"EOL dépassée",IF(T377&lt;=180,"&lt; 6 mois",IF(T377&lt;=365,"&lt; 12 mois","OK"))))</x:f>
      </x:c>
    </x:row>
    <x:row r="378">
      <x:c r="A378" s="82"/>
      <x:c r="B378" s="82"/>
      <x:c r="C378" s="82"/>
      <x:c r="D378" s="82"/>
      <x:c r="E378" s="82"/>
      <x:c r="F378" s="82"/>
      <x:c r="G378" s="82"/>
      <x:c r="H378" s="82"/>
      <x:c r="I378" s="82"/>
      <x:c r="J378" s="110"/>
      <x:c r="K378" s="82"/>
      <x:c r="L378" s="82"/>
      <x:c r="M378" s="82"/>
      <x:c r="N378" s="82"/>
      <x:c r="O378" s="110"/>
      <x:c r="P378" s="82"/>
      <x:c r="Q378" s="82"/>
      <x:c r="R378" s="82"/>
      <x:c r="S378" s="82"/>
      <x:c r="T378" s="144" t="str">
        <x:f>IF(J378="","",J378-TODAY())</x:f>
      </x:c>
      <x:c r="U378" s="82" t="str">
        <x:f>IF(J378="","",IF(T378&lt;0,"EOL dépassée",IF(T378&lt;=180,"&lt; 6 mois",IF(T378&lt;=365,"&lt; 12 mois","OK"))))</x:f>
      </x:c>
    </x:row>
    <x:row r="379">
      <x:c r="A379" s="82"/>
      <x:c r="B379" s="82"/>
      <x:c r="C379" s="82"/>
      <x:c r="D379" s="82"/>
      <x:c r="E379" s="82"/>
      <x:c r="F379" s="82"/>
      <x:c r="G379" s="82"/>
      <x:c r="H379" s="82"/>
      <x:c r="I379" s="82"/>
      <x:c r="J379" s="110"/>
      <x:c r="K379" s="82"/>
      <x:c r="L379" s="82"/>
      <x:c r="M379" s="82"/>
      <x:c r="N379" s="82"/>
      <x:c r="O379" s="110"/>
      <x:c r="P379" s="82"/>
      <x:c r="Q379" s="82"/>
      <x:c r="R379" s="82"/>
      <x:c r="S379" s="82"/>
      <x:c r="T379" s="144" t="str">
        <x:f>IF(J379="","",J379-TODAY())</x:f>
      </x:c>
      <x:c r="U379" s="82" t="str">
        <x:f>IF(J379="","",IF(T379&lt;0,"EOL dépassée",IF(T379&lt;=180,"&lt; 6 mois",IF(T379&lt;=365,"&lt; 12 mois","OK"))))</x:f>
      </x:c>
    </x:row>
    <x:row r="380">
      <x:c r="A380" s="82"/>
      <x:c r="B380" s="82"/>
      <x:c r="C380" s="82"/>
      <x:c r="D380" s="82"/>
      <x:c r="E380" s="82"/>
      <x:c r="F380" s="82"/>
      <x:c r="G380" s="82"/>
      <x:c r="H380" s="82"/>
      <x:c r="I380" s="82"/>
      <x:c r="J380" s="110"/>
      <x:c r="K380" s="82"/>
      <x:c r="L380" s="82"/>
      <x:c r="M380" s="82"/>
      <x:c r="N380" s="82"/>
      <x:c r="O380" s="110"/>
      <x:c r="P380" s="82"/>
      <x:c r="Q380" s="82"/>
      <x:c r="R380" s="82"/>
      <x:c r="S380" s="82"/>
      <x:c r="T380" s="144" t="str">
        <x:f>IF(J380="","",J380-TODAY())</x:f>
      </x:c>
      <x:c r="U380" s="82" t="str">
        <x:f>IF(J380="","",IF(T380&lt;0,"EOL dépassée",IF(T380&lt;=180,"&lt; 6 mois",IF(T380&lt;=365,"&lt; 12 mois","OK"))))</x:f>
      </x:c>
    </x:row>
    <x:row r="381">
      <x:c r="A381" s="82"/>
      <x:c r="B381" s="82"/>
      <x:c r="C381" s="82"/>
      <x:c r="D381" s="82"/>
      <x:c r="E381" s="82"/>
      <x:c r="F381" s="82"/>
      <x:c r="G381" s="82"/>
      <x:c r="H381" s="82"/>
      <x:c r="I381" s="82"/>
      <x:c r="J381" s="110"/>
      <x:c r="K381" s="82"/>
      <x:c r="L381" s="82"/>
      <x:c r="M381" s="82"/>
      <x:c r="N381" s="82"/>
      <x:c r="O381" s="110"/>
      <x:c r="P381" s="82"/>
      <x:c r="Q381" s="82"/>
      <x:c r="R381" s="82"/>
      <x:c r="S381" s="82"/>
      <x:c r="T381" s="144" t="str">
        <x:f>IF(J381="","",J381-TODAY())</x:f>
      </x:c>
      <x:c r="U381" s="82" t="str">
        <x:f>IF(J381="","",IF(T381&lt;0,"EOL dépassée",IF(T381&lt;=180,"&lt; 6 mois",IF(T381&lt;=365,"&lt; 12 mois","OK"))))</x:f>
      </x:c>
    </x:row>
    <x:row r="382">
      <x:c r="A382" s="82"/>
      <x:c r="B382" s="82"/>
      <x:c r="C382" s="82"/>
      <x:c r="D382" s="82"/>
      <x:c r="E382" s="82"/>
      <x:c r="F382" s="82"/>
      <x:c r="G382" s="82"/>
      <x:c r="H382" s="82"/>
      <x:c r="I382" s="82"/>
      <x:c r="J382" s="110"/>
      <x:c r="K382" s="82"/>
      <x:c r="L382" s="82"/>
      <x:c r="M382" s="82"/>
      <x:c r="N382" s="82"/>
      <x:c r="O382" s="110"/>
      <x:c r="P382" s="82"/>
      <x:c r="Q382" s="82"/>
      <x:c r="R382" s="82"/>
      <x:c r="S382" s="82"/>
      <x:c r="T382" s="144" t="str">
        <x:f>IF(J382="","",J382-TODAY())</x:f>
      </x:c>
      <x:c r="U382" s="82" t="str">
        <x:f>IF(J382="","",IF(T382&lt;0,"EOL dépassée",IF(T382&lt;=180,"&lt; 6 mois",IF(T382&lt;=365,"&lt; 12 mois","OK"))))</x:f>
      </x:c>
    </x:row>
    <x:row r="383">
      <x:c r="A383" s="82"/>
      <x:c r="B383" s="82"/>
      <x:c r="C383" s="82"/>
      <x:c r="D383" s="82"/>
      <x:c r="E383" s="82"/>
      <x:c r="F383" s="82"/>
      <x:c r="G383" s="82"/>
      <x:c r="H383" s="82"/>
      <x:c r="I383" s="82"/>
      <x:c r="J383" s="110"/>
      <x:c r="K383" s="82"/>
      <x:c r="L383" s="82"/>
      <x:c r="M383" s="82"/>
      <x:c r="N383" s="82"/>
      <x:c r="O383" s="110"/>
      <x:c r="P383" s="82"/>
      <x:c r="Q383" s="82"/>
      <x:c r="R383" s="82"/>
      <x:c r="S383" s="82"/>
      <x:c r="T383" s="144" t="str">
        <x:f>IF(J383="","",J383-TODAY())</x:f>
      </x:c>
      <x:c r="U383" s="82" t="str">
        <x:f>IF(J383="","",IF(T383&lt;0,"EOL dépassée",IF(T383&lt;=180,"&lt; 6 mois",IF(T383&lt;=365,"&lt; 12 mois","OK"))))</x:f>
      </x:c>
    </x:row>
    <x:row r="384">
      <x:c r="A384" s="82"/>
      <x:c r="B384" s="82"/>
      <x:c r="C384" s="82"/>
      <x:c r="D384" s="82"/>
      <x:c r="E384" s="82"/>
      <x:c r="F384" s="82"/>
      <x:c r="G384" s="82"/>
      <x:c r="H384" s="82"/>
      <x:c r="I384" s="82"/>
      <x:c r="J384" s="110"/>
      <x:c r="K384" s="82"/>
      <x:c r="L384" s="82"/>
      <x:c r="M384" s="82"/>
      <x:c r="N384" s="82"/>
      <x:c r="O384" s="110"/>
      <x:c r="P384" s="82"/>
      <x:c r="Q384" s="82"/>
      <x:c r="R384" s="82"/>
      <x:c r="S384" s="82"/>
      <x:c r="T384" s="144" t="str">
        <x:f>IF(J384="","",J384-TODAY())</x:f>
      </x:c>
      <x:c r="U384" s="82" t="str">
        <x:f>IF(J384="","",IF(T384&lt;0,"EOL dépassée",IF(T384&lt;=180,"&lt; 6 mois",IF(T384&lt;=365,"&lt; 12 mois","OK"))))</x:f>
      </x:c>
    </x:row>
    <x:row r="385">
      <x:c r="A385" s="82"/>
      <x:c r="B385" s="82"/>
      <x:c r="C385" s="82"/>
      <x:c r="D385" s="82"/>
      <x:c r="E385" s="82"/>
      <x:c r="F385" s="82"/>
      <x:c r="G385" s="82"/>
      <x:c r="H385" s="82"/>
      <x:c r="I385" s="82"/>
      <x:c r="J385" s="110"/>
      <x:c r="K385" s="82"/>
      <x:c r="L385" s="82"/>
      <x:c r="M385" s="82"/>
      <x:c r="N385" s="82"/>
      <x:c r="O385" s="110"/>
      <x:c r="P385" s="82"/>
      <x:c r="Q385" s="82"/>
      <x:c r="R385" s="82"/>
      <x:c r="S385" s="82"/>
      <x:c r="T385" s="144" t="str">
        <x:f>IF(J385="","",J385-TODAY())</x:f>
      </x:c>
      <x:c r="U385" s="82" t="str">
        <x:f>IF(J385="","",IF(T385&lt;0,"EOL dépassée",IF(T385&lt;=180,"&lt; 6 mois",IF(T385&lt;=365,"&lt; 12 mois","OK"))))</x:f>
      </x:c>
    </x:row>
    <x:row r="386">
      <x:c r="A386" s="82"/>
      <x:c r="B386" s="82"/>
      <x:c r="C386" s="82"/>
      <x:c r="D386" s="82"/>
      <x:c r="E386" s="82"/>
      <x:c r="F386" s="82"/>
      <x:c r="G386" s="82"/>
      <x:c r="H386" s="82"/>
      <x:c r="I386" s="82"/>
      <x:c r="J386" s="110"/>
      <x:c r="K386" s="82"/>
      <x:c r="L386" s="82"/>
      <x:c r="M386" s="82"/>
      <x:c r="N386" s="82"/>
      <x:c r="O386" s="110"/>
      <x:c r="P386" s="82"/>
      <x:c r="Q386" s="82"/>
      <x:c r="R386" s="82"/>
      <x:c r="S386" s="82"/>
      <x:c r="T386" s="144" t="str">
        <x:f>IF(J386="","",J386-TODAY())</x:f>
      </x:c>
      <x:c r="U386" s="82" t="str">
        <x:f>IF(J386="","",IF(T386&lt;0,"EOL dépassée",IF(T386&lt;=180,"&lt; 6 mois",IF(T386&lt;=365,"&lt; 12 mois","OK"))))</x:f>
      </x:c>
    </x:row>
    <x:row r="387">
      <x:c r="A387" s="82"/>
      <x:c r="B387" s="82"/>
      <x:c r="C387" s="82"/>
      <x:c r="D387" s="82"/>
      <x:c r="E387" s="82"/>
      <x:c r="F387" s="82"/>
      <x:c r="G387" s="82"/>
      <x:c r="H387" s="82"/>
      <x:c r="I387" s="82"/>
      <x:c r="J387" s="110"/>
      <x:c r="K387" s="82"/>
      <x:c r="L387" s="82"/>
      <x:c r="M387" s="82"/>
      <x:c r="N387" s="82"/>
      <x:c r="O387" s="110"/>
      <x:c r="P387" s="82"/>
      <x:c r="Q387" s="82"/>
      <x:c r="R387" s="82"/>
      <x:c r="S387" s="82"/>
      <x:c r="T387" s="144" t="str">
        <x:f>IF(J387="","",J387-TODAY())</x:f>
      </x:c>
      <x:c r="U387" s="82" t="str">
        <x:f>IF(J387="","",IF(T387&lt;0,"EOL dépassée",IF(T387&lt;=180,"&lt; 6 mois",IF(T387&lt;=365,"&lt; 12 mois","OK"))))</x:f>
      </x:c>
    </x:row>
    <x:row r="388">
      <x:c r="A388" s="82"/>
      <x:c r="B388" s="82"/>
      <x:c r="C388" s="82"/>
      <x:c r="D388" s="82"/>
      <x:c r="E388" s="82"/>
      <x:c r="F388" s="82"/>
      <x:c r="G388" s="82"/>
      <x:c r="H388" s="82"/>
      <x:c r="I388" s="82"/>
      <x:c r="J388" s="110"/>
      <x:c r="K388" s="82"/>
      <x:c r="L388" s="82"/>
      <x:c r="M388" s="82"/>
      <x:c r="N388" s="82"/>
      <x:c r="O388" s="110"/>
      <x:c r="P388" s="82"/>
      <x:c r="Q388" s="82"/>
      <x:c r="R388" s="82"/>
      <x:c r="S388" s="82"/>
      <x:c r="T388" s="144" t="str">
        <x:f>IF(J388="","",J388-TODAY())</x:f>
      </x:c>
      <x:c r="U388" s="82" t="str">
        <x:f>IF(J388="","",IF(T388&lt;0,"EOL dépassée",IF(T388&lt;=180,"&lt; 6 mois",IF(T388&lt;=365,"&lt; 12 mois","OK"))))</x:f>
      </x:c>
    </x:row>
    <x:row r="389">
      <x:c r="A389" s="82"/>
      <x:c r="B389" s="82"/>
      <x:c r="C389" s="82"/>
      <x:c r="D389" s="82"/>
      <x:c r="E389" s="82"/>
      <x:c r="F389" s="82"/>
      <x:c r="G389" s="82"/>
      <x:c r="H389" s="82"/>
      <x:c r="I389" s="82"/>
      <x:c r="J389" s="110"/>
      <x:c r="K389" s="82"/>
      <x:c r="L389" s="82"/>
      <x:c r="M389" s="82"/>
      <x:c r="N389" s="82"/>
      <x:c r="O389" s="110"/>
      <x:c r="P389" s="82"/>
      <x:c r="Q389" s="82"/>
      <x:c r="R389" s="82"/>
      <x:c r="S389" s="82"/>
      <x:c r="T389" s="144" t="str">
        <x:f>IF(J389="","",J389-TODAY())</x:f>
      </x:c>
      <x:c r="U389" s="82" t="str">
        <x:f>IF(J389="","",IF(T389&lt;0,"EOL dépassée",IF(T389&lt;=180,"&lt; 6 mois",IF(T389&lt;=365,"&lt; 12 mois","OK"))))</x:f>
      </x:c>
    </x:row>
    <x:row r="390">
      <x:c r="A390" s="82"/>
      <x:c r="B390" s="82"/>
      <x:c r="C390" s="82"/>
      <x:c r="D390" s="82"/>
      <x:c r="E390" s="82"/>
      <x:c r="F390" s="82"/>
      <x:c r="G390" s="82"/>
      <x:c r="H390" s="82"/>
      <x:c r="I390" s="82"/>
      <x:c r="J390" s="110"/>
      <x:c r="K390" s="82"/>
      <x:c r="L390" s="82"/>
      <x:c r="M390" s="82"/>
      <x:c r="N390" s="82"/>
      <x:c r="O390" s="110"/>
      <x:c r="P390" s="82"/>
      <x:c r="Q390" s="82"/>
      <x:c r="R390" s="82"/>
      <x:c r="S390" s="82"/>
      <x:c r="T390" s="144" t="str">
        <x:f>IF(J390="","",J390-TODAY())</x:f>
      </x:c>
      <x:c r="U390" s="82" t="str">
        <x:f>IF(J390="","",IF(T390&lt;0,"EOL dépassée",IF(T390&lt;=180,"&lt; 6 mois",IF(T390&lt;=365,"&lt; 12 mois","OK"))))</x:f>
      </x:c>
    </x:row>
    <x:row r="391">
      <x:c r="A391" s="82"/>
      <x:c r="B391" s="82"/>
      <x:c r="C391" s="82"/>
      <x:c r="D391" s="82"/>
      <x:c r="E391" s="82"/>
      <x:c r="F391" s="82"/>
      <x:c r="G391" s="82"/>
      <x:c r="H391" s="82"/>
      <x:c r="I391" s="82"/>
      <x:c r="J391" s="110"/>
      <x:c r="K391" s="82"/>
      <x:c r="L391" s="82"/>
      <x:c r="M391" s="82"/>
      <x:c r="N391" s="82"/>
      <x:c r="O391" s="110"/>
      <x:c r="P391" s="82"/>
      <x:c r="Q391" s="82"/>
      <x:c r="R391" s="82"/>
      <x:c r="S391" s="82"/>
      <x:c r="T391" s="144" t="str">
        <x:f>IF(J391="","",J391-TODAY())</x:f>
      </x:c>
      <x:c r="U391" s="82" t="str">
        <x:f>IF(J391="","",IF(T391&lt;0,"EOL dépassée",IF(T391&lt;=180,"&lt; 6 mois",IF(T391&lt;=365,"&lt; 12 mois","OK"))))</x:f>
      </x:c>
    </x:row>
    <x:row r="392">
      <x:c r="A392" s="82"/>
      <x:c r="B392" s="82"/>
      <x:c r="C392" s="82"/>
      <x:c r="D392" s="82"/>
      <x:c r="E392" s="82"/>
      <x:c r="F392" s="82"/>
      <x:c r="G392" s="82"/>
      <x:c r="H392" s="82"/>
      <x:c r="I392" s="82"/>
      <x:c r="J392" s="110"/>
      <x:c r="K392" s="82"/>
      <x:c r="L392" s="82"/>
      <x:c r="M392" s="82"/>
      <x:c r="N392" s="82"/>
      <x:c r="O392" s="110"/>
      <x:c r="P392" s="82"/>
      <x:c r="Q392" s="82"/>
      <x:c r="R392" s="82"/>
      <x:c r="S392" s="82"/>
      <x:c r="T392" s="144" t="str">
        <x:f>IF(J392="","",J392-TODAY())</x:f>
      </x:c>
      <x:c r="U392" s="82" t="str">
        <x:f>IF(J392="","",IF(T392&lt;0,"EOL dépassée",IF(T392&lt;=180,"&lt; 6 mois",IF(T392&lt;=365,"&lt; 12 mois","OK"))))</x:f>
      </x:c>
    </x:row>
    <x:row r="393">
      <x:c r="A393" s="82"/>
      <x:c r="B393" s="82"/>
      <x:c r="C393" s="82"/>
      <x:c r="D393" s="82"/>
      <x:c r="E393" s="82"/>
      <x:c r="F393" s="82"/>
      <x:c r="G393" s="82"/>
      <x:c r="H393" s="82"/>
      <x:c r="I393" s="82"/>
      <x:c r="J393" s="110"/>
      <x:c r="K393" s="82"/>
      <x:c r="L393" s="82"/>
      <x:c r="M393" s="82"/>
      <x:c r="N393" s="82"/>
      <x:c r="O393" s="110"/>
      <x:c r="P393" s="82"/>
      <x:c r="Q393" s="82"/>
      <x:c r="R393" s="82"/>
      <x:c r="S393" s="82"/>
      <x:c r="T393" s="144" t="str">
        <x:f>IF(J393="","",J393-TODAY())</x:f>
      </x:c>
      <x:c r="U393" s="82" t="str">
        <x:f>IF(J393="","",IF(T393&lt;0,"EOL dépassée",IF(T393&lt;=180,"&lt; 6 mois",IF(T393&lt;=365,"&lt; 12 mois","OK"))))</x:f>
      </x:c>
    </x:row>
    <x:row r="394">
      <x:c r="A394" s="82"/>
      <x:c r="B394" s="82"/>
      <x:c r="C394" s="82"/>
      <x:c r="D394" s="82"/>
      <x:c r="E394" s="82"/>
      <x:c r="F394" s="82"/>
      <x:c r="G394" s="82"/>
      <x:c r="H394" s="82"/>
      <x:c r="I394" s="82"/>
      <x:c r="J394" s="110"/>
      <x:c r="K394" s="82"/>
      <x:c r="L394" s="82"/>
      <x:c r="M394" s="82"/>
      <x:c r="N394" s="82"/>
      <x:c r="O394" s="110"/>
      <x:c r="P394" s="82"/>
      <x:c r="Q394" s="82"/>
      <x:c r="R394" s="82"/>
      <x:c r="S394" s="82"/>
      <x:c r="T394" s="144" t="str">
        <x:f>IF(J394="","",J394-TODAY())</x:f>
      </x:c>
      <x:c r="U394" s="82" t="str">
        <x:f>IF(J394="","",IF(T394&lt;0,"EOL dépassée",IF(T394&lt;=180,"&lt; 6 mois",IF(T394&lt;=365,"&lt; 12 mois","OK"))))</x:f>
      </x:c>
    </x:row>
    <x:row r="395">
      <x:c r="A395" s="82"/>
      <x:c r="B395" s="82"/>
      <x:c r="C395" s="82"/>
      <x:c r="D395" s="82"/>
      <x:c r="E395" s="82"/>
      <x:c r="F395" s="82"/>
      <x:c r="G395" s="82"/>
      <x:c r="H395" s="82"/>
      <x:c r="I395" s="82"/>
      <x:c r="J395" s="110"/>
      <x:c r="K395" s="82"/>
      <x:c r="L395" s="82"/>
      <x:c r="M395" s="82"/>
      <x:c r="N395" s="82"/>
      <x:c r="O395" s="110"/>
      <x:c r="P395" s="82"/>
      <x:c r="Q395" s="82"/>
      <x:c r="R395" s="82"/>
      <x:c r="S395" s="82"/>
      <x:c r="T395" s="144" t="str">
        <x:f>IF(J395="","",J395-TODAY())</x:f>
      </x:c>
      <x:c r="U395" s="82" t="str">
        <x:f>IF(J395="","",IF(T395&lt;0,"EOL dépassée",IF(T395&lt;=180,"&lt; 6 mois",IF(T395&lt;=365,"&lt; 12 mois","OK"))))</x:f>
      </x:c>
    </x:row>
    <x:row r="396">
      <x:c r="A396" s="82"/>
      <x:c r="B396" s="82"/>
      <x:c r="C396" s="82"/>
      <x:c r="D396" s="82"/>
      <x:c r="E396" s="82"/>
      <x:c r="F396" s="82"/>
      <x:c r="G396" s="82"/>
      <x:c r="H396" s="82"/>
      <x:c r="I396" s="82"/>
      <x:c r="J396" s="110"/>
      <x:c r="K396" s="82"/>
      <x:c r="L396" s="82"/>
      <x:c r="M396" s="82"/>
      <x:c r="N396" s="82"/>
      <x:c r="O396" s="110"/>
      <x:c r="P396" s="82"/>
      <x:c r="Q396" s="82"/>
      <x:c r="R396" s="82"/>
      <x:c r="S396" s="82"/>
      <x:c r="T396" s="144" t="str">
        <x:f>IF(J396="","",J396-TODAY())</x:f>
      </x:c>
      <x:c r="U396" s="82" t="str">
        <x:f>IF(J396="","",IF(T396&lt;0,"EOL dépassée",IF(T396&lt;=180,"&lt; 6 mois",IF(T396&lt;=365,"&lt; 12 mois","OK"))))</x:f>
      </x:c>
    </x:row>
    <x:row r="397">
      <x:c r="A397" s="82"/>
      <x:c r="B397" s="82"/>
      <x:c r="C397" s="82"/>
      <x:c r="D397" s="82"/>
      <x:c r="E397" s="82"/>
      <x:c r="F397" s="82"/>
      <x:c r="G397" s="82"/>
      <x:c r="H397" s="82"/>
      <x:c r="I397" s="82"/>
      <x:c r="J397" s="110"/>
      <x:c r="K397" s="82"/>
      <x:c r="L397" s="82"/>
      <x:c r="M397" s="82"/>
      <x:c r="N397" s="82"/>
      <x:c r="O397" s="110"/>
      <x:c r="P397" s="82"/>
      <x:c r="Q397" s="82"/>
      <x:c r="R397" s="82"/>
      <x:c r="S397" s="82"/>
      <x:c r="T397" s="144" t="str">
        <x:f>IF(J397="","",J397-TODAY())</x:f>
      </x:c>
      <x:c r="U397" s="82" t="str">
        <x:f>IF(J397="","",IF(T397&lt;0,"EOL dépassée",IF(T397&lt;=180,"&lt; 6 mois",IF(T397&lt;=365,"&lt; 12 mois","OK"))))</x:f>
      </x:c>
    </x:row>
    <x:row r="398">
      <x:c r="A398" s="82"/>
      <x:c r="B398" s="82"/>
      <x:c r="C398" s="82"/>
      <x:c r="D398" s="82"/>
      <x:c r="E398" s="82"/>
      <x:c r="F398" s="82"/>
      <x:c r="G398" s="82"/>
      <x:c r="H398" s="82"/>
      <x:c r="I398" s="82"/>
      <x:c r="J398" s="110"/>
      <x:c r="K398" s="82"/>
      <x:c r="L398" s="82"/>
      <x:c r="M398" s="82"/>
      <x:c r="N398" s="82"/>
      <x:c r="O398" s="110"/>
      <x:c r="P398" s="82"/>
      <x:c r="Q398" s="82"/>
      <x:c r="R398" s="82"/>
      <x:c r="S398" s="82"/>
      <x:c r="T398" s="144" t="str">
        <x:f>IF(J398="","",J398-TODAY())</x:f>
      </x:c>
      <x:c r="U398" s="82" t="str">
        <x:f>IF(J398="","",IF(T398&lt;0,"EOL dépassée",IF(T398&lt;=180,"&lt; 6 mois",IF(T398&lt;=365,"&lt; 12 mois","OK"))))</x:f>
      </x:c>
    </x:row>
    <x:row r="399">
      <x:c r="A399" s="82"/>
      <x:c r="B399" s="82"/>
      <x:c r="C399" s="82"/>
      <x:c r="D399" s="82"/>
      <x:c r="E399" s="82"/>
      <x:c r="F399" s="82"/>
      <x:c r="G399" s="82"/>
      <x:c r="H399" s="82"/>
      <x:c r="I399" s="82"/>
      <x:c r="J399" s="110"/>
      <x:c r="K399" s="82"/>
      <x:c r="L399" s="82"/>
      <x:c r="M399" s="82"/>
      <x:c r="N399" s="82"/>
      <x:c r="O399" s="110"/>
      <x:c r="P399" s="82"/>
      <x:c r="Q399" s="82"/>
      <x:c r="R399" s="82"/>
      <x:c r="S399" s="82"/>
      <x:c r="T399" s="144" t="str">
        <x:f>IF(J399="","",J399-TODAY())</x:f>
      </x:c>
      <x:c r="U399" s="82" t="str">
        <x:f>IF(J399="","",IF(T399&lt;0,"EOL dépassée",IF(T399&lt;=180,"&lt; 6 mois",IF(T399&lt;=365,"&lt; 12 mois","OK"))))</x:f>
      </x:c>
    </x:row>
    <x:row r="400">
      <x:c r="A400" s="82"/>
      <x:c r="B400" s="82"/>
      <x:c r="C400" s="82"/>
      <x:c r="D400" s="82"/>
      <x:c r="E400" s="82"/>
      <x:c r="F400" s="82"/>
      <x:c r="G400" s="82"/>
      <x:c r="H400" s="82"/>
      <x:c r="I400" s="82"/>
      <x:c r="J400" s="110"/>
      <x:c r="K400" s="82"/>
      <x:c r="L400" s="82"/>
      <x:c r="M400" s="82"/>
      <x:c r="N400" s="82"/>
      <x:c r="O400" s="110"/>
      <x:c r="P400" s="82"/>
      <x:c r="Q400" s="82"/>
      <x:c r="R400" s="82"/>
      <x:c r="S400" s="82"/>
      <x:c r="T400" s="144" t="str">
        <x:f>IF(J400="","",J400-TODAY())</x:f>
      </x:c>
      <x:c r="U400" s="82" t="str">
        <x:f>IF(J400="","",IF(T400&lt;0,"EOL dépassée",IF(T400&lt;=180,"&lt; 6 mois",IF(T400&lt;=365,"&lt; 12 mois","OK"))))</x:f>
      </x:c>
    </x:row>
    <x:row r="401">
      <x:c r="A401" s="82"/>
      <x:c r="B401" s="82"/>
      <x:c r="C401" s="82"/>
      <x:c r="D401" s="82"/>
      <x:c r="E401" s="82"/>
      <x:c r="F401" s="82"/>
      <x:c r="G401" s="82"/>
      <x:c r="H401" s="82"/>
      <x:c r="I401" s="82"/>
      <x:c r="J401" s="110"/>
      <x:c r="K401" s="82"/>
      <x:c r="L401" s="82"/>
      <x:c r="M401" s="82"/>
      <x:c r="N401" s="82"/>
      <x:c r="O401" s="110"/>
      <x:c r="P401" s="82"/>
      <x:c r="Q401" s="82"/>
      <x:c r="R401" s="82"/>
      <x:c r="S401" s="82"/>
      <x:c r="T401" s="144" t="str">
        <x:f>IF(J401="","",J401-TODAY())</x:f>
      </x:c>
      <x:c r="U401" s="82" t="str">
        <x:f>IF(J401="","",IF(T401&lt;0,"EOL dépassée",IF(T401&lt;=180,"&lt; 6 mois",IF(T401&lt;=365,"&lt; 12 mois","OK"))))</x:f>
      </x:c>
    </x:row>
    <x:row r="402">
      <x:c r="A402" s="82"/>
      <x:c r="B402" s="82"/>
      <x:c r="C402" s="82"/>
      <x:c r="D402" s="82"/>
      <x:c r="E402" s="82"/>
      <x:c r="F402" s="82"/>
      <x:c r="G402" s="82"/>
      <x:c r="H402" s="82"/>
      <x:c r="I402" s="82"/>
      <x:c r="J402" s="110"/>
      <x:c r="K402" s="82"/>
      <x:c r="L402" s="82"/>
      <x:c r="M402" s="82"/>
      <x:c r="N402" s="82"/>
      <x:c r="O402" s="110"/>
      <x:c r="P402" s="82"/>
      <x:c r="Q402" s="82"/>
      <x:c r="R402" s="82"/>
      <x:c r="S402" s="82"/>
      <x:c r="T402" s="144" t="str">
        <x:f>IF(J402="","",J402-TODAY())</x:f>
      </x:c>
      <x:c r="U402" s="82" t="str">
        <x:f>IF(J402="","",IF(T402&lt;0,"EOL dépassée",IF(T402&lt;=180,"&lt; 6 mois",IF(T402&lt;=365,"&lt; 12 mois","OK"))))</x:f>
      </x:c>
    </x:row>
    <x:row r="403">
      <x:c r="A403" s="82"/>
      <x:c r="B403" s="82"/>
      <x:c r="C403" s="82"/>
      <x:c r="D403" s="82"/>
      <x:c r="E403" s="82"/>
      <x:c r="F403" s="82"/>
      <x:c r="G403" s="82"/>
      <x:c r="H403" s="82"/>
      <x:c r="I403" s="82"/>
      <x:c r="J403" s="110"/>
      <x:c r="K403" s="82"/>
      <x:c r="L403" s="82"/>
      <x:c r="M403" s="82"/>
      <x:c r="N403" s="82"/>
      <x:c r="O403" s="110"/>
      <x:c r="P403" s="82"/>
      <x:c r="Q403" s="82"/>
      <x:c r="R403" s="82"/>
      <x:c r="S403" s="82"/>
      <x:c r="T403" s="144" t="str">
        <x:f>IF(J403="","",J403-TODAY())</x:f>
      </x:c>
      <x:c r="U403" s="82" t="str">
        <x:f>IF(J403="","",IF(T403&lt;0,"EOL dépassée",IF(T403&lt;=180,"&lt; 6 mois",IF(T403&lt;=365,"&lt; 12 mois","OK"))))</x:f>
      </x:c>
    </x:row>
    <x:row r="404">
      <x:c r="A404" s="82"/>
      <x:c r="B404" s="82"/>
      <x:c r="C404" s="82"/>
      <x:c r="D404" s="82"/>
      <x:c r="E404" s="82"/>
      <x:c r="F404" s="82"/>
      <x:c r="G404" s="82"/>
      <x:c r="H404" s="82"/>
      <x:c r="I404" s="82"/>
      <x:c r="J404" s="110"/>
      <x:c r="K404" s="82"/>
      <x:c r="L404" s="82"/>
      <x:c r="M404" s="82"/>
      <x:c r="N404" s="82"/>
      <x:c r="O404" s="110"/>
      <x:c r="P404" s="82"/>
      <x:c r="Q404" s="82"/>
      <x:c r="R404" s="82"/>
      <x:c r="S404" s="82"/>
      <x:c r="T404" s="144" t="str">
        <x:f>IF(J404="","",J404-TODAY())</x:f>
      </x:c>
      <x:c r="U404" s="82" t="str">
        <x:f>IF(J404="","",IF(T404&lt;0,"EOL dépassée",IF(T404&lt;=180,"&lt; 6 mois",IF(T404&lt;=365,"&lt; 12 mois","OK"))))</x:f>
      </x:c>
    </x:row>
    <x:row r="405">
      <x:c r="A405" s="82"/>
      <x:c r="B405" s="82"/>
      <x:c r="C405" s="82"/>
      <x:c r="D405" s="82"/>
      <x:c r="E405" s="82"/>
      <x:c r="F405" s="82"/>
      <x:c r="G405" s="82"/>
      <x:c r="H405" s="82"/>
      <x:c r="I405" s="82"/>
      <x:c r="J405" s="110"/>
      <x:c r="K405" s="82"/>
      <x:c r="L405" s="82"/>
      <x:c r="M405" s="82"/>
      <x:c r="N405" s="82"/>
      <x:c r="O405" s="110"/>
      <x:c r="P405" s="82"/>
      <x:c r="Q405" s="82"/>
      <x:c r="R405" s="82"/>
      <x:c r="S405" s="82"/>
      <x:c r="T405" s="144" t="str">
        <x:f>IF(J405="","",J405-TODAY())</x:f>
      </x:c>
      <x:c r="U405" s="82" t="str">
        <x:f>IF(J405="","",IF(T405&lt;0,"EOL dépassée",IF(T405&lt;=180,"&lt; 6 mois",IF(T405&lt;=365,"&lt; 12 mois","OK"))))</x:f>
      </x:c>
    </x:row>
    <x:row r="406">
      <x:c r="A406" s="82"/>
      <x:c r="B406" s="82"/>
      <x:c r="C406" s="82"/>
      <x:c r="D406" s="82"/>
      <x:c r="E406" s="82"/>
      <x:c r="F406" s="82"/>
      <x:c r="G406" s="82"/>
      <x:c r="H406" s="82"/>
      <x:c r="I406" s="82"/>
      <x:c r="J406" s="110"/>
      <x:c r="K406" s="82"/>
      <x:c r="L406" s="82"/>
      <x:c r="M406" s="82"/>
      <x:c r="N406" s="82"/>
      <x:c r="O406" s="110"/>
      <x:c r="P406" s="82"/>
      <x:c r="Q406" s="82"/>
      <x:c r="R406" s="82"/>
      <x:c r="S406" s="82"/>
      <x:c r="T406" s="144" t="str">
        <x:f>IF(J406="","",J406-TODAY())</x:f>
      </x:c>
      <x:c r="U406" s="82" t="str">
        <x:f>IF(J406="","",IF(T406&lt;0,"EOL dépassée",IF(T406&lt;=180,"&lt; 6 mois",IF(T406&lt;=365,"&lt; 12 mois","OK"))))</x:f>
      </x:c>
    </x:row>
    <x:row r="407">
      <x:c r="A407" s="82"/>
      <x:c r="B407" s="82"/>
      <x:c r="C407" s="82"/>
      <x:c r="D407" s="82"/>
      <x:c r="E407" s="82"/>
      <x:c r="F407" s="82"/>
      <x:c r="G407" s="82"/>
      <x:c r="H407" s="82"/>
      <x:c r="I407" s="82"/>
      <x:c r="J407" s="110"/>
      <x:c r="K407" s="82"/>
      <x:c r="L407" s="82"/>
      <x:c r="M407" s="82"/>
      <x:c r="N407" s="82"/>
      <x:c r="O407" s="110"/>
      <x:c r="P407" s="82"/>
      <x:c r="Q407" s="82"/>
      <x:c r="R407" s="82"/>
      <x:c r="S407" s="82"/>
      <x:c r="T407" s="144" t="str">
        <x:f>IF(J407="","",J407-TODAY())</x:f>
      </x:c>
      <x:c r="U407" s="82" t="str">
        <x:f>IF(J407="","",IF(T407&lt;0,"EOL dépassée",IF(T407&lt;=180,"&lt; 6 mois",IF(T407&lt;=365,"&lt; 12 mois","OK"))))</x:f>
      </x:c>
    </x:row>
    <x:row r="408">
      <x:c r="A408" s="82"/>
      <x:c r="B408" s="82"/>
      <x:c r="C408" s="82"/>
      <x:c r="D408" s="82"/>
      <x:c r="E408" s="82"/>
      <x:c r="F408" s="82"/>
      <x:c r="G408" s="82"/>
      <x:c r="H408" s="82"/>
      <x:c r="I408" s="82"/>
      <x:c r="J408" s="110"/>
      <x:c r="K408" s="82"/>
      <x:c r="L408" s="82"/>
      <x:c r="M408" s="82"/>
      <x:c r="N408" s="82"/>
      <x:c r="O408" s="110"/>
      <x:c r="P408" s="82"/>
      <x:c r="Q408" s="82"/>
      <x:c r="R408" s="82"/>
      <x:c r="S408" s="82"/>
      <x:c r="T408" s="144" t="str">
        <x:f>IF(J408="","",J408-TODAY())</x:f>
      </x:c>
      <x:c r="U408" s="82" t="str">
        <x:f>IF(J408="","",IF(T408&lt;0,"EOL dépassée",IF(T408&lt;=180,"&lt; 6 mois",IF(T408&lt;=365,"&lt; 12 mois","OK"))))</x:f>
      </x:c>
    </x:row>
    <x:row r="409">
      <x:c r="A409" s="82"/>
      <x:c r="B409" s="82"/>
      <x:c r="C409" s="82"/>
      <x:c r="D409" s="82"/>
      <x:c r="E409" s="82"/>
      <x:c r="F409" s="82"/>
      <x:c r="G409" s="82"/>
      <x:c r="H409" s="82"/>
      <x:c r="I409" s="82"/>
      <x:c r="J409" s="110"/>
      <x:c r="K409" s="82"/>
      <x:c r="L409" s="82"/>
      <x:c r="M409" s="82"/>
      <x:c r="N409" s="82"/>
      <x:c r="O409" s="110"/>
      <x:c r="P409" s="82"/>
      <x:c r="Q409" s="82"/>
      <x:c r="R409" s="82"/>
      <x:c r="S409" s="82"/>
      <x:c r="T409" s="144" t="str">
        <x:f>IF(J409="","",J409-TODAY())</x:f>
      </x:c>
      <x:c r="U409" s="82" t="str">
        <x:f>IF(J409="","",IF(T409&lt;0,"EOL dépassée",IF(T409&lt;=180,"&lt; 6 mois",IF(T409&lt;=365,"&lt; 12 mois","OK"))))</x:f>
      </x:c>
    </x:row>
    <x:row r="410">
      <x:c r="A410" s="82"/>
      <x:c r="B410" s="82"/>
      <x:c r="C410" s="82"/>
      <x:c r="D410" s="82"/>
      <x:c r="E410" s="82"/>
      <x:c r="F410" s="82"/>
      <x:c r="G410" s="82"/>
      <x:c r="H410" s="82"/>
      <x:c r="I410" s="82"/>
      <x:c r="J410" s="110"/>
      <x:c r="K410" s="82"/>
      <x:c r="L410" s="82"/>
      <x:c r="M410" s="82"/>
      <x:c r="N410" s="82"/>
      <x:c r="O410" s="110"/>
      <x:c r="P410" s="82"/>
      <x:c r="Q410" s="82"/>
      <x:c r="R410" s="82"/>
      <x:c r="S410" s="82"/>
      <x:c r="T410" s="144" t="str">
        <x:f>IF(J410="","",J410-TODAY())</x:f>
      </x:c>
      <x:c r="U410" s="82" t="str">
        <x:f>IF(J410="","",IF(T410&lt;0,"EOL dépassée",IF(T410&lt;=180,"&lt; 6 mois",IF(T410&lt;=365,"&lt; 12 mois","OK"))))</x:f>
      </x:c>
    </x:row>
    <x:row r="411">
      <x:c r="A411" s="82"/>
      <x:c r="B411" s="82"/>
      <x:c r="C411" s="82"/>
      <x:c r="D411" s="82"/>
      <x:c r="E411" s="82"/>
      <x:c r="F411" s="82"/>
      <x:c r="G411" s="82"/>
      <x:c r="H411" s="82"/>
      <x:c r="I411" s="82"/>
      <x:c r="J411" s="110"/>
      <x:c r="K411" s="82"/>
      <x:c r="L411" s="82"/>
      <x:c r="M411" s="82"/>
      <x:c r="N411" s="82"/>
      <x:c r="O411" s="110"/>
      <x:c r="P411" s="82"/>
      <x:c r="Q411" s="82"/>
      <x:c r="R411" s="82"/>
      <x:c r="S411" s="82"/>
      <x:c r="T411" s="144" t="str">
        <x:f>IF(J411="","",J411-TODAY())</x:f>
      </x:c>
      <x:c r="U411" s="82" t="str">
        <x:f>IF(J411="","",IF(T411&lt;0,"EOL dépassée",IF(T411&lt;=180,"&lt; 6 mois",IF(T411&lt;=365,"&lt; 12 mois","OK"))))</x:f>
      </x:c>
    </x:row>
    <x:row r="412">
      <x:c r="A412" s="82"/>
      <x:c r="B412" s="82"/>
      <x:c r="C412" s="82"/>
      <x:c r="D412" s="82"/>
      <x:c r="E412" s="82"/>
      <x:c r="F412" s="82"/>
      <x:c r="G412" s="82"/>
      <x:c r="H412" s="82"/>
      <x:c r="I412" s="82"/>
      <x:c r="J412" s="110"/>
      <x:c r="K412" s="82"/>
      <x:c r="L412" s="82"/>
      <x:c r="M412" s="82"/>
      <x:c r="N412" s="82"/>
      <x:c r="O412" s="110"/>
      <x:c r="P412" s="82"/>
      <x:c r="Q412" s="82"/>
      <x:c r="R412" s="82"/>
      <x:c r="S412" s="82"/>
      <x:c r="T412" s="144" t="str">
        <x:f>IF(J412="","",J412-TODAY())</x:f>
      </x:c>
      <x:c r="U412" s="82" t="str">
        <x:f>IF(J412="","",IF(T412&lt;0,"EOL dépassée",IF(T412&lt;=180,"&lt; 6 mois",IF(T412&lt;=365,"&lt; 12 mois","OK"))))</x:f>
      </x:c>
    </x:row>
    <x:row r="413">
      <x:c r="A413" s="82"/>
      <x:c r="B413" s="82"/>
      <x:c r="C413" s="82"/>
      <x:c r="D413" s="82"/>
      <x:c r="E413" s="82"/>
      <x:c r="F413" s="82"/>
      <x:c r="G413" s="82"/>
      <x:c r="H413" s="82"/>
      <x:c r="I413" s="82"/>
      <x:c r="J413" s="110"/>
      <x:c r="K413" s="82"/>
      <x:c r="L413" s="82"/>
      <x:c r="M413" s="82"/>
      <x:c r="N413" s="82"/>
      <x:c r="O413" s="110"/>
      <x:c r="P413" s="82"/>
      <x:c r="Q413" s="82"/>
      <x:c r="R413" s="82"/>
      <x:c r="S413" s="82"/>
      <x:c r="T413" s="144" t="str">
        <x:f>IF(J413="","",J413-TODAY())</x:f>
      </x:c>
      <x:c r="U413" s="82" t="str">
        <x:f>IF(J413="","",IF(T413&lt;0,"EOL dépassée",IF(T413&lt;=180,"&lt; 6 mois",IF(T413&lt;=365,"&lt; 12 mois","OK"))))</x:f>
      </x:c>
    </x:row>
    <x:row r="414">
      <x:c r="A414" s="82"/>
      <x:c r="B414" s="82"/>
      <x:c r="C414" s="82"/>
      <x:c r="D414" s="82"/>
      <x:c r="E414" s="82"/>
      <x:c r="F414" s="82"/>
      <x:c r="G414" s="82"/>
      <x:c r="H414" s="82"/>
      <x:c r="I414" s="82"/>
      <x:c r="J414" s="110"/>
      <x:c r="K414" s="82"/>
      <x:c r="L414" s="82"/>
      <x:c r="M414" s="82"/>
      <x:c r="N414" s="82"/>
      <x:c r="O414" s="110"/>
      <x:c r="P414" s="82"/>
      <x:c r="Q414" s="82"/>
      <x:c r="R414" s="82"/>
      <x:c r="S414" s="82"/>
      <x:c r="T414" s="144" t="str">
        <x:f>IF(J414="","",J414-TODAY())</x:f>
      </x:c>
      <x:c r="U414" s="82" t="str">
        <x:f>IF(J414="","",IF(T414&lt;0,"EOL dépassée",IF(T414&lt;=180,"&lt; 6 mois",IF(T414&lt;=365,"&lt; 12 mois","OK"))))</x:f>
      </x:c>
    </x:row>
    <x:row r="415">
      <x:c r="A415" s="82"/>
      <x:c r="B415" s="82"/>
      <x:c r="C415" s="82"/>
      <x:c r="D415" s="82"/>
      <x:c r="E415" s="82"/>
      <x:c r="F415" s="82"/>
      <x:c r="G415" s="82"/>
      <x:c r="H415" s="82"/>
      <x:c r="I415" s="82"/>
      <x:c r="J415" s="110"/>
      <x:c r="K415" s="82"/>
      <x:c r="L415" s="82"/>
      <x:c r="M415" s="82"/>
      <x:c r="N415" s="82"/>
      <x:c r="O415" s="110"/>
      <x:c r="P415" s="82"/>
      <x:c r="Q415" s="82"/>
      <x:c r="R415" s="82"/>
      <x:c r="S415" s="82"/>
      <x:c r="T415" s="144" t="str">
        <x:f>IF(J415="","",J415-TODAY())</x:f>
      </x:c>
      <x:c r="U415" s="82" t="str">
        <x:f>IF(J415="","",IF(T415&lt;0,"EOL dépassée",IF(T415&lt;=180,"&lt; 6 mois",IF(T415&lt;=365,"&lt; 12 mois","OK"))))</x:f>
      </x:c>
    </x:row>
    <x:row r="416">
      <x:c r="A416" s="82"/>
      <x:c r="B416" s="82"/>
      <x:c r="C416" s="82"/>
      <x:c r="D416" s="82"/>
      <x:c r="E416" s="82"/>
      <x:c r="F416" s="82"/>
      <x:c r="G416" s="82"/>
      <x:c r="H416" s="82"/>
      <x:c r="I416" s="82"/>
      <x:c r="J416" s="110"/>
      <x:c r="K416" s="82"/>
      <x:c r="L416" s="82"/>
      <x:c r="M416" s="82"/>
      <x:c r="N416" s="82"/>
      <x:c r="O416" s="110"/>
      <x:c r="P416" s="82"/>
      <x:c r="Q416" s="82"/>
      <x:c r="R416" s="82"/>
      <x:c r="S416" s="82"/>
      <x:c r="T416" s="144" t="str">
        <x:f>IF(J416="","",J416-TODAY())</x:f>
      </x:c>
      <x:c r="U416" s="82" t="str">
        <x:f>IF(J416="","",IF(T416&lt;0,"EOL dépassée",IF(T416&lt;=180,"&lt; 6 mois",IF(T416&lt;=365,"&lt; 12 mois","OK"))))</x:f>
      </x:c>
    </x:row>
    <x:row r="417">
      <x:c r="A417" s="82"/>
      <x:c r="B417" s="82"/>
      <x:c r="C417" s="82"/>
      <x:c r="D417" s="82"/>
      <x:c r="E417" s="82"/>
      <x:c r="F417" s="82"/>
      <x:c r="G417" s="82"/>
      <x:c r="H417" s="82"/>
      <x:c r="I417" s="82"/>
      <x:c r="J417" s="110"/>
      <x:c r="K417" s="82"/>
      <x:c r="L417" s="82"/>
      <x:c r="M417" s="82"/>
      <x:c r="N417" s="82"/>
      <x:c r="O417" s="110"/>
      <x:c r="P417" s="82"/>
      <x:c r="Q417" s="82"/>
      <x:c r="R417" s="82"/>
      <x:c r="S417" s="82"/>
      <x:c r="T417" s="144" t="str">
        <x:f>IF(J417="","",J417-TODAY())</x:f>
      </x:c>
      <x:c r="U417" s="82" t="str">
        <x:f>IF(J417="","",IF(T417&lt;0,"EOL dépassée",IF(T417&lt;=180,"&lt; 6 mois",IF(T417&lt;=365,"&lt; 12 mois","OK"))))</x:f>
      </x:c>
    </x:row>
    <x:row r="418">
      <x:c r="A418" s="82"/>
      <x:c r="B418" s="82"/>
      <x:c r="C418" s="82"/>
      <x:c r="D418" s="82"/>
      <x:c r="E418" s="82"/>
      <x:c r="F418" s="82"/>
      <x:c r="G418" s="82"/>
      <x:c r="H418" s="82"/>
      <x:c r="I418" s="82"/>
      <x:c r="J418" s="110"/>
      <x:c r="K418" s="82"/>
      <x:c r="L418" s="82"/>
      <x:c r="M418" s="82"/>
      <x:c r="N418" s="82"/>
      <x:c r="O418" s="110"/>
      <x:c r="P418" s="82"/>
      <x:c r="Q418" s="82"/>
      <x:c r="R418" s="82"/>
      <x:c r="S418" s="82"/>
      <x:c r="T418" s="144" t="str">
        <x:f>IF(J418="","",J418-TODAY())</x:f>
      </x:c>
      <x:c r="U418" s="82" t="str">
        <x:f>IF(J418="","",IF(T418&lt;0,"EOL dépassée",IF(T418&lt;=180,"&lt; 6 mois",IF(T418&lt;=365,"&lt; 12 mois","OK"))))</x:f>
      </x:c>
    </x:row>
    <x:row r="419">
      <x:c r="A419" s="82"/>
      <x:c r="B419" s="82"/>
      <x:c r="C419" s="82"/>
      <x:c r="D419" s="82"/>
      <x:c r="E419" s="82"/>
      <x:c r="F419" s="82"/>
      <x:c r="G419" s="82"/>
      <x:c r="H419" s="82"/>
      <x:c r="I419" s="82"/>
      <x:c r="J419" s="110"/>
      <x:c r="K419" s="82"/>
      <x:c r="L419" s="82"/>
      <x:c r="M419" s="82"/>
      <x:c r="N419" s="82"/>
      <x:c r="O419" s="110"/>
      <x:c r="P419" s="82"/>
      <x:c r="Q419" s="82"/>
      <x:c r="R419" s="82"/>
      <x:c r="S419" s="82"/>
      <x:c r="T419" s="144" t="str">
        <x:f>IF(J419="","",J419-TODAY())</x:f>
      </x:c>
      <x:c r="U419" s="82" t="str">
        <x:f>IF(J419="","",IF(T419&lt;0,"EOL dépassée",IF(T419&lt;=180,"&lt; 6 mois",IF(T419&lt;=365,"&lt; 12 mois","OK"))))</x:f>
      </x:c>
    </x:row>
    <x:row r="420">
      <x:c r="A420" s="82"/>
      <x:c r="B420" s="82"/>
      <x:c r="C420" s="82"/>
      <x:c r="D420" s="82"/>
      <x:c r="E420" s="82"/>
      <x:c r="F420" s="82"/>
      <x:c r="G420" s="82"/>
      <x:c r="H420" s="82"/>
      <x:c r="I420" s="82"/>
      <x:c r="J420" s="110"/>
      <x:c r="K420" s="82"/>
      <x:c r="L420" s="82"/>
      <x:c r="M420" s="82"/>
      <x:c r="N420" s="82"/>
      <x:c r="O420" s="110"/>
      <x:c r="P420" s="82"/>
      <x:c r="Q420" s="82"/>
      <x:c r="R420" s="82"/>
      <x:c r="S420" s="82"/>
      <x:c r="T420" s="144" t="str">
        <x:f>IF(J420="","",J420-TODAY())</x:f>
      </x:c>
      <x:c r="U420" s="82" t="str">
        <x:f>IF(J420="","",IF(T420&lt;0,"EOL dépassée",IF(T420&lt;=180,"&lt; 6 mois",IF(T420&lt;=365,"&lt; 12 mois","OK"))))</x:f>
      </x:c>
    </x:row>
    <x:row r="421">
      <x:c r="A421" s="82"/>
      <x:c r="B421" s="82"/>
      <x:c r="C421" s="82"/>
      <x:c r="D421" s="82"/>
      <x:c r="E421" s="82"/>
      <x:c r="F421" s="82"/>
      <x:c r="G421" s="82"/>
      <x:c r="H421" s="82"/>
      <x:c r="I421" s="82"/>
      <x:c r="J421" s="110"/>
      <x:c r="K421" s="82"/>
      <x:c r="L421" s="82"/>
      <x:c r="M421" s="82"/>
      <x:c r="N421" s="82"/>
      <x:c r="O421" s="110"/>
      <x:c r="P421" s="82"/>
      <x:c r="Q421" s="82"/>
      <x:c r="R421" s="82"/>
      <x:c r="S421" s="82"/>
      <x:c r="T421" s="144" t="str">
        <x:f>IF(J421="","",J421-TODAY())</x:f>
      </x:c>
      <x:c r="U421" s="82" t="str">
        <x:f>IF(J421="","",IF(T421&lt;0,"EOL dépassée",IF(T421&lt;=180,"&lt; 6 mois",IF(T421&lt;=365,"&lt; 12 mois","OK"))))</x:f>
      </x:c>
    </x:row>
    <x:row r="422">
      <x:c r="A422" s="82"/>
      <x:c r="B422" s="82"/>
      <x:c r="C422" s="82"/>
      <x:c r="D422" s="82"/>
      <x:c r="E422" s="82"/>
      <x:c r="F422" s="82"/>
      <x:c r="G422" s="82"/>
      <x:c r="H422" s="82"/>
      <x:c r="I422" s="82"/>
      <x:c r="J422" s="110"/>
      <x:c r="K422" s="82"/>
      <x:c r="L422" s="82"/>
      <x:c r="M422" s="82"/>
      <x:c r="N422" s="82"/>
      <x:c r="O422" s="110"/>
      <x:c r="P422" s="82"/>
      <x:c r="Q422" s="82"/>
      <x:c r="R422" s="82"/>
      <x:c r="S422" s="82"/>
      <x:c r="T422" s="144" t="str">
        <x:f>IF(J422="","",J422-TODAY())</x:f>
      </x:c>
      <x:c r="U422" s="82" t="str">
        <x:f>IF(J422="","",IF(T422&lt;0,"EOL dépassée",IF(T422&lt;=180,"&lt; 6 mois",IF(T422&lt;=365,"&lt; 12 mois","OK"))))</x:f>
      </x:c>
    </x:row>
    <x:row r="423">
      <x:c r="A423" s="82"/>
      <x:c r="B423" s="82"/>
      <x:c r="C423" s="82"/>
      <x:c r="D423" s="82"/>
      <x:c r="E423" s="82"/>
      <x:c r="F423" s="82"/>
      <x:c r="G423" s="82"/>
      <x:c r="H423" s="82"/>
      <x:c r="I423" s="82"/>
      <x:c r="J423" s="110"/>
      <x:c r="K423" s="82"/>
      <x:c r="L423" s="82"/>
      <x:c r="M423" s="82"/>
      <x:c r="N423" s="82"/>
      <x:c r="O423" s="110"/>
      <x:c r="P423" s="82"/>
      <x:c r="Q423" s="82"/>
      <x:c r="R423" s="82"/>
      <x:c r="S423" s="82"/>
      <x:c r="T423" s="144" t="str">
        <x:f>IF(J423="","",J423-TODAY())</x:f>
      </x:c>
      <x:c r="U423" s="82" t="str">
        <x:f>IF(J423="","",IF(T423&lt;0,"EOL dépassée",IF(T423&lt;=180,"&lt; 6 mois",IF(T423&lt;=365,"&lt; 12 mois","OK"))))</x:f>
      </x:c>
    </x:row>
    <x:row r="424">
      <x:c r="A424" s="82"/>
      <x:c r="B424" s="82"/>
      <x:c r="C424" s="82"/>
      <x:c r="D424" s="82"/>
      <x:c r="E424" s="82"/>
      <x:c r="F424" s="82"/>
      <x:c r="G424" s="82"/>
      <x:c r="H424" s="82"/>
      <x:c r="I424" s="82"/>
      <x:c r="J424" s="110"/>
      <x:c r="K424" s="82"/>
      <x:c r="L424" s="82"/>
      <x:c r="M424" s="82"/>
      <x:c r="N424" s="82"/>
      <x:c r="O424" s="110"/>
      <x:c r="P424" s="82"/>
      <x:c r="Q424" s="82"/>
      <x:c r="R424" s="82"/>
      <x:c r="S424" s="82"/>
      <x:c r="T424" s="144" t="str">
        <x:f>IF(J424="","",J424-TODAY())</x:f>
      </x:c>
      <x:c r="U424" s="82" t="str">
        <x:f>IF(J424="","",IF(T424&lt;0,"EOL dépassée",IF(T424&lt;=180,"&lt; 6 mois",IF(T424&lt;=365,"&lt; 12 mois","OK"))))</x:f>
      </x:c>
    </x:row>
    <x:row r="425">
      <x:c r="A425" s="82"/>
      <x:c r="B425" s="82"/>
      <x:c r="C425" s="82"/>
      <x:c r="D425" s="82"/>
      <x:c r="E425" s="82"/>
      <x:c r="F425" s="82"/>
      <x:c r="G425" s="82"/>
      <x:c r="H425" s="82"/>
      <x:c r="I425" s="82"/>
      <x:c r="J425" s="110"/>
      <x:c r="K425" s="82"/>
      <x:c r="L425" s="82"/>
      <x:c r="M425" s="82"/>
      <x:c r="N425" s="82"/>
      <x:c r="O425" s="110"/>
      <x:c r="P425" s="82"/>
      <x:c r="Q425" s="82"/>
      <x:c r="R425" s="82"/>
      <x:c r="S425" s="82"/>
      <x:c r="T425" s="144" t="str">
        <x:f>IF(J425="","",J425-TODAY())</x:f>
      </x:c>
      <x:c r="U425" s="82" t="str">
        <x:f>IF(J425="","",IF(T425&lt;0,"EOL dépassée",IF(T425&lt;=180,"&lt; 6 mois",IF(T425&lt;=365,"&lt; 12 mois","OK"))))</x:f>
      </x:c>
    </x:row>
    <x:row r="426">
      <x:c r="A426" s="82"/>
      <x:c r="B426" s="82"/>
      <x:c r="C426" s="82"/>
      <x:c r="D426" s="82"/>
      <x:c r="E426" s="82"/>
      <x:c r="F426" s="82"/>
      <x:c r="G426" s="82"/>
      <x:c r="H426" s="82"/>
      <x:c r="I426" s="82"/>
      <x:c r="J426" s="110"/>
      <x:c r="K426" s="82"/>
      <x:c r="L426" s="82"/>
      <x:c r="M426" s="82"/>
      <x:c r="N426" s="82"/>
      <x:c r="O426" s="110"/>
      <x:c r="P426" s="82"/>
      <x:c r="Q426" s="82"/>
      <x:c r="R426" s="82"/>
      <x:c r="S426" s="82"/>
      <x:c r="T426" s="144" t="str">
        <x:f>IF(J426="","",J426-TODAY())</x:f>
      </x:c>
      <x:c r="U426" s="82" t="str">
        <x:f>IF(J426="","",IF(T426&lt;0,"EOL dépassée",IF(T426&lt;=180,"&lt; 6 mois",IF(T426&lt;=365,"&lt; 12 mois","OK"))))</x:f>
      </x:c>
    </x:row>
    <x:row r="427">
      <x:c r="A427" s="82"/>
      <x:c r="B427" s="82"/>
      <x:c r="C427" s="82"/>
      <x:c r="D427" s="82"/>
      <x:c r="E427" s="82"/>
      <x:c r="F427" s="82"/>
      <x:c r="G427" s="82"/>
      <x:c r="H427" s="82"/>
      <x:c r="I427" s="82"/>
      <x:c r="J427" s="110"/>
      <x:c r="K427" s="82"/>
      <x:c r="L427" s="82"/>
      <x:c r="M427" s="82"/>
      <x:c r="N427" s="82"/>
      <x:c r="O427" s="110"/>
      <x:c r="P427" s="82"/>
      <x:c r="Q427" s="82"/>
      <x:c r="R427" s="82"/>
      <x:c r="S427" s="82"/>
      <x:c r="T427" s="144" t="str">
        <x:f>IF(J427="","",J427-TODAY())</x:f>
      </x:c>
      <x:c r="U427" s="82" t="str">
        <x:f>IF(J427="","",IF(T427&lt;0,"EOL dépassée",IF(T427&lt;=180,"&lt; 6 mois",IF(T427&lt;=365,"&lt; 12 mois","OK"))))</x:f>
      </x:c>
    </x:row>
    <x:row r="428">
      <x:c r="A428" s="82"/>
      <x:c r="B428" s="82"/>
      <x:c r="C428" s="82"/>
      <x:c r="D428" s="82"/>
      <x:c r="E428" s="82"/>
      <x:c r="F428" s="82"/>
      <x:c r="G428" s="82"/>
      <x:c r="H428" s="82"/>
      <x:c r="I428" s="82"/>
      <x:c r="J428" s="110"/>
      <x:c r="K428" s="82"/>
      <x:c r="L428" s="82"/>
      <x:c r="M428" s="82"/>
      <x:c r="N428" s="82"/>
      <x:c r="O428" s="110"/>
      <x:c r="P428" s="82"/>
      <x:c r="Q428" s="82"/>
      <x:c r="R428" s="82"/>
      <x:c r="S428" s="82"/>
      <x:c r="T428" s="144" t="str">
        <x:f>IF(J428="","",J428-TODAY())</x:f>
      </x:c>
      <x:c r="U428" s="82" t="str">
        <x:f>IF(J428="","",IF(T428&lt;0,"EOL dépassée",IF(T428&lt;=180,"&lt; 6 mois",IF(T428&lt;=365,"&lt; 12 mois","OK"))))</x:f>
      </x:c>
    </x:row>
    <x:row r="429">
      <x:c r="A429" s="82"/>
      <x:c r="B429" s="82"/>
      <x:c r="C429" s="82"/>
      <x:c r="D429" s="82"/>
      <x:c r="E429" s="82"/>
      <x:c r="F429" s="82"/>
      <x:c r="G429" s="82"/>
      <x:c r="H429" s="82"/>
      <x:c r="I429" s="82"/>
      <x:c r="J429" s="110"/>
      <x:c r="K429" s="82"/>
      <x:c r="L429" s="82"/>
      <x:c r="M429" s="82"/>
      <x:c r="N429" s="82"/>
      <x:c r="O429" s="110"/>
      <x:c r="P429" s="82"/>
      <x:c r="Q429" s="82"/>
      <x:c r="R429" s="82"/>
      <x:c r="S429" s="82"/>
      <x:c r="T429" s="144" t="str">
        <x:f>IF(J429="","",J429-TODAY())</x:f>
      </x:c>
      <x:c r="U429" s="82" t="str">
        <x:f>IF(J429="","",IF(T429&lt;0,"EOL dépassée",IF(T429&lt;=180,"&lt; 6 mois",IF(T429&lt;=365,"&lt; 12 mois","OK"))))</x:f>
      </x:c>
    </x:row>
    <x:row r="430">
      <x:c r="A430" s="82"/>
      <x:c r="B430" s="82"/>
      <x:c r="C430" s="82"/>
      <x:c r="D430" s="82"/>
      <x:c r="E430" s="82"/>
      <x:c r="F430" s="82"/>
      <x:c r="G430" s="82"/>
      <x:c r="H430" s="82"/>
      <x:c r="I430" s="82"/>
      <x:c r="J430" s="110"/>
      <x:c r="K430" s="82"/>
      <x:c r="L430" s="82"/>
      <x:c r="M430" s="82"/>
      <x:c r="N430" s="82"/>
      <x:c r="O430" s="110"/>
      <x:c r="P430" s="82"/>
      <x:c r="Q430" s="82"/>
      <x:c r="R430" s="82"/>
      <x:c r="S430" s="82"/>
      <x:c r="T430" s="144" t="str">
        <x:f>IF(J430="","",J430-TODAY())</x:f>
      </x:c>
      <x:c r="U430" s="82" t="str">
        <x:f>IF(J430="","",IF(T430&lt;0,"EOL dépassée",IF(T430&lt;=180,"&lt; 6 mois",IF(T430&lt;=365,"&lt; 12 mois","OK"))))</x:f>
      </x:c>
    </x:row>
    <x:row r="431">
      <x:c r="A431" s="82"/>
      <x:c r="B431" s="82"/>
      <x:c r="C431" s="82"/>
      <x:c r="D431" s="82"/>
      <x:c r="E431" s="82"/>
      <x:c r="F431" s="82"/>
      <x:c r="G431" s="82"/>
      <x:c r="H431" s="82"/>
      <x:c r="I431" s="82"/>
      <x:c r="J431" s="110"/>
      <x:c r="K431" s="82"/>
      <x:c r="L431" s="82"/>
      <x:c r="M431" s="82"/>
      <x:c r="N431" s="82"/>
      <x:c r="O431" s="110"/>
      <x:c r="P431" s="82"/>
      <x:c r="Q431" s="82"/>
      <x:c r="R431" s="82"/>
      <x:c r="S431" s="82"/>
      <x:c r="T431" s="144" t="str">
        <x:f>IF(J431="","",J431-TODAY())</x:f>
      </x:c>
      <x:c r="U431" s="82" t="str">
        <x:f>IF(J431="","",IF(T431&lt;0,"EOL dépassée",IF(T431&lt;=180,"&lt; 6 mois",IF(T431&lt;=365,"&lt; 12 mois","OK"))))</x:f>
      </x:c>
    </x:row>
    <x:row r="432">
      <x:c r="A432" s="82"/>
      <x:c r="B432" s="82"/>
      <x:c r="C432" s="82"/>
      <x:c r="D432" s="82"/>
      <x:c r="E432" s="82"/>
      <x:c r="F432" s="82"/>
      <x:c r="G432" s="82"/>
      <x:c r="H432" s="82"/>
      <x:c r="I432" s="82"/>
      <x:c r="J432" s="110"/>
      <x:c r="K432" s="82"/>
      <x:c r="L432" s="82"/>
      <x:c r="M432" s="82"/>
      <x:c r="N432" s="82"/>
      <x:c r="O432" s="110"/>
      <x:c r="P432" s="82"/>
      <x:c r="Q432" s="82"/>
      <x:c r="R432" s="82"/>
      <x:c r="S432" s="82"/>
      <x:c r="T432" s="144" t="str">
        <x:f>IF(J432="","",J432-TODAY())</x:f>
      </x:c>
      <x:c r="U432" s="82" t="str">
        <x:f>IF(J432="","",IF(T432&lt;0,"EOL dépassée",IF(T432&lt;=180,"&lt; 6 mois",IF(T432&lt;=365,"&lt; 12 mois","OK"))))</x:f>
      </x:c>
    </x:row>
    <x:row r="433">
      <x:c r="A433" s="82"/>
      <x:c r="B433" s="82"/>
      <x:c r="C433" s="82"/>
      <x:c r="D433" s="82"/>
      <x:c r="E433" s="82"/>
      <x:c r="F433" s="82"/>
      <x:c r="G433" s="82"/>
      <x:c r="H433" s="82"/>
      <x:c r="I433" s="82"/>
      <x:c r="J433" s="110"/>
      <x:c r="K433" s="82"/>
      <x:c r="L433" s="82"/>
      <x:c r="M433" s="82"/>
      <x:c r="N433" s="82"/>
      <x:c r="O433" s="110"/>
      <x:c r="P433" s="82"/>
      <x:c r="Q433" s="82"/>
      <x:c r="R433" s="82"/>
      <x:c r="S433" s="82"/>
      <x:c r="T433" s="144" t="str">
        <x:f>IF(J433="","",J433-TODAY())</x:f>
      </x:c>
      <x:c r="U433" s="82" t="str">
        <x:f>IF(J433="","",IF(T433&lt;0,"EOL dépassée",IF(T433&lt;=180,"&lt; 6 mois",IF(T433&lt;=365,"&lt; 12 mois","OK"))))</x:f>
      </x:c>
    </x:row>
    <x:row r="434">
      <x:c r="A434" s="82"/>
      <x:c r="B434" s="82"/>
      <x:c r="C434" s="82"/>
      <x:c r="D434" s="82"/>
      <x:c r="E434" s="82"/>
      <x:c r="F434" s="82"/>
      <x:c r="G434" s="82"/>
      <x:c r="H434" s="82"/>
      <x:c r="I434" s="82"/>
      <x:c r="J434" s="110"/>
      <x:c r="K434" s="82"/>
      <x:c r="L434" s="82"/>
      <x:c r="M434" s="82"/>
      <x:c r="N434" s="82"/>
      <x:c r="O434" s="110"/>
      <x:c r="P434" s="82"/>
      <x:c r="Q434" s="82"/>
      <x:c r="R434" s="82"/>
      <x:c r="S434" s="82"/>
      <x:c r="T434" s="144" t="str">
        <x:f>IF(J434="","",J434-TODAY())</x:f>
      </x:c>
      <x:c r="U434" s="82" t="str">
        <x:f>IF(J434="","",IF(T434&lt;0,"EOL dépassée",IF(T434&lt;=180,"&lt; 6 mois",IF(T434&lt;=365,"&lt; 12 mois","OK"))))</x:f>
      </x:c>
    </x:row>
    <x:row r="435">
      <x:c r="A435" s="82"/>
      <x:c r="B435" s="82"/>
      <x:c r="C435" s="82"/>
      <x:c r="D435" s="82"/>
      <x:c r="E435" s="82"/>
      <x:c r="F435" s="82"/>
      <x:c r="G435" s="82"/>
      <x:c r="H435" s="82"/>
      <x:c r="I435" s="82"/>
      <x:c r="J435" s="110"/>
      <x:c r="K435" s="82"/>
      <x:c r="L435" s="82"/>
      <x:c r="M435" s="82"/>
      <x:c r="N435" s="82"/>
      <x:c r="O435" s="110"/>
      <x:c r="P435" s="82"/>
      <x:c r="Q435" s="82"/>
      <x:c r="R435" s="82"/>
      <x:c r="S435" s="82"/>
      <x:c r="T435" s="144" t="str">
        <x:f>IF(J435="","",J435-TODAY())</x:f>
      </x:c>
      <x:c r="U435" s="82" t="str">
        <x:f>IF(J435="","",IF(T435&lt;0,"EOL dépassée",IF(T435&lt;=180,"&lt; 6 mois",IF(T435&lt;=365,"&lt; 12 mois","OK"))))</x:f>
      </x:c>
    </x:row>
    <x:row r="436">
      <x:c r="A436" s="82"/>
      <x:c r="B436" s="82"/>
      <x:c r="C436" s="82"/>
      <x:c r="D436" s="82"/>
      <x:c r="E436" s="82"/>
      <x:c r="F436" s="82"/>
      <x:c r="G436" s="82"/>
      <x:c r="H436" s="82"/>
      <x:c r="I436" s="82"/>
      <x:c r="J436" s="110"/>
      <x:c r="K436" s="82"/>
      <x:c r="L436" s="82"/>
      <x:c r="M436" s="82"/>
      <x:c r="N436" s="82"/>
      <x:c r="O436" s="110"/>
      <x:c r="P436" s="82"/>
      <x:c r="Q436" s="82"/>
      <x:c r="R436" s="82"/>
      <x:c r="S436" s="82"/>
      <x:c r="T436" s="144" t="str">
        <x:f>IF(J436="","",J436-TODAY())</x:f>
      </x:c>
      <x:c r="U436" s="82" t="str">
        <x:f>IF(J436="","",IF(T436&lt;0,"EOL dépassée",IF(T436&lt;=180,"&lt; 6 mois",IF(T436&lt;=365,"&lt; 12 mois","OK"))))</x:f>
      </x:c>
    </x:row>
    <x:row r="437">
      <x:c r="A437" s="82"/>
      <x:c r="B437" s="82"/>
      <x:c r="C437" s="82"/>
      <x:c r="D437" s="82"/>
      <x:c r="E437" s="82"/>
      <x:c r="F437" s="82"/>
      <x:c r="G437" s="82"/>
      <x:c r="H437" s="82"/>
      <x:c r="I437" s="82"/>
      <x:c r="J437" s="110"/>
      <x:c r="K437" s="82"/>
      <x:c r="L437" s="82"/>
      <x:c r="M437" s="82"/>
      <x:c r="N437" s="82"/>
      <x:c r="O437" s="110"/>
      <x:c r="P437" s="82"/>
      <x:c r="Q437" s="82"/>
      <x:c r="R437" s="82"/>
      <x:c r="S437" s="82"/>
      <x:c r="T437" s="144" t="str">
        <x:f>IF(J437="","",J437-TODAY())</x:f>
      </x:c>
      <x:c r="U437" s="82" t="str">
        <x:f>IF(J437="","",IF(T437&lt;0,"EOL dépassée",IF(T437&lt;=180,"&lt; 6 mois",IF(T437&lt;=365,"&lt; 12 mois","OK"))))</x:f>
      </x:c>
    </x:row>
    <x:row r="438">
      <x:c r="A438" s="82"/>
      <x:c r="B438" s="82"/>
      <x:c r="C438" s="82"/>
      <x:c r="D438" s="82"/>
      <x:c r="E438" s="82"/>
      <x:c r="F438" s="82"/>
      <x:c r="G438" s="82"/>
      <x:c r="H438" s="82"/>
      <x:c r="I438" s="82"/>
      <x:c r="J438" s="110"/>
      <x:c r="K438" s="82"/>
      <x:c r="L438" s="82"/>
      <x:c r="M438" s="82"/>
      <x:c r="N438" s="82"/>
      <x:c r="O438" s="110"/>
      <x:c r="P438" s="82"/>
      <x:c r="Q438" s="82"/>
      <x:c r="R438" s="82"/>
      <x:c r="S438" s="82"/>
      <x:c r="T438" s="144" t="str">
        <x:f>IF(J438="","",J438-TODAY())</x:f>
      </x:c>
      <x:c r="U438" s="82" t="str">
        <x:f>IF(J438="","",IF(T438&lt;0,"EOL dépassée",IF(T438&lt;=180,"&lt; 6 mois",IF(T438&lt;=365,"&lt; 12 mois","OK"))))</x:f>
      </x:c>
    </x:row>
    <x:row r="439">
      <x:c r="A439" s="82"/>
      <x:c r="B439" s="82"/>
      <x:c r="C439" s="82"/>
      <x:c r="D439" s="82"/>
      <x:c r="E439" s="82"/>
      <x:c r="F439" s="82"/>
      <x:c r="G439" s="82"/>
      <x:c r="H439" s="82"/>
      <x:c r="I439" s="82"/>
      <x:c r="J439" s="110"/>
      <x:c r="K439" s="82"/>
      <x:c r="L439" s="82"/>
      <x:c r="M439" s="82"/>
      <x:c r="N439" s="82"/>
      <x:c r="O439" s="110"/>
      <x:c r="P439" s="82"/>
      <x:c r="Q439" s="82"/>
      <x:c r="R439" s="82"/>
      <x:c r="S439" s="82"/>
      <x:c r="T439" s="144" t="str">
        <x:f>IF(J439="","",J439-TODAY())</x:f>
      </x:c>
      <x:c r="U439" s="82" t="str">
        <x:f>IF(J439="","",IF(T439&lt;0,"EOL dépassée",IF(T439&lt;=180,"&lt; 6 mois",IF(T439&lt;=365,"&lt; 12 mois","OK"))))</x:f>
      </x:c>
    </x:row>
    <x:row r="440">
      <x:c r="A440" s="82"/>
      <x:c r="B440" s="82"/>
      <x:c r="C440" s="82"/>
      <x:c r="D440" s="82"/>
      <x:c r="E440" s="82"/>
      <x:c r="F440" s="82"/>
      <x:c r="G440" s="82"/>
      <x:c r="H440" s="82"/>
      <x:c r="I440" s="82"/>
      <x:c r="J440" s="110"/>
      <x:c r="K440" s="82"/>
      <x:c r="L440" s="82"/>
      <x:c r="M440" s="82"/>
      <x:c r="N440" s="82"/>
      <x:c r="O440" s="110"/>
      <x:c r="P440" s="82"/>
      <x:c r="Q440" s="82"/>
      <x:c r="R440" s="82"/>
      <x:c r="S440" s="82"/>
      <x:c r="T440" s="144" t="str">
        <x:f>IF(J440="","",J440-TODAY())</x:f>
      </x:c>
      <x:c r="U440" s="82" t="str">
        <x:f>IF(J440="","",IF(T440&lt;0,"EOL dépassée",IF(T440&lt;=180,"&lt; 6 mois",IF(T440&lt;=365,"&lt; 12 mois","OK"))))</x:f>
      </x:c>
    </x:row>
    <x:row r="441">
      <x:c r="A441" s="82"/>
      <x:c r="B441" s="82"/>
      <x:c r="C441" s="82"/>
      <x:c r="D441" s="82"/>
      <x:c r="E441" s="82"/>
      <x:c r="F441" s="82"/>
      <x:c r="G441" s="82"/>
      <x:c r="H441" s="82"/>
      <x:c r="I441" s="82"/>
      <x:c r="J441" s="110"/>
      <x:c r="K441" s="82"/>
      <x:c r="L441" s="82"/>
      <x:c r="M441" s="82"/>
      <x:c r="N441" s="82"/>
      <x:c r="O441" s="110"/>
      <x:c r="P441" s="82"/>
      <x:c r="Q441" s="82"/>
      <x:c r="R441" s="82"/>
      <x:c r="S441" s="82"/>
      <x:c r="T441" s="144" t="str">
        <x:f>IF(J441="","",J441-TODAY())</x:f>
      </x:c>
      <x:c r="U441" s="82" t="str">
        <x:f>IF(J441="","",IF(T441&lt;0,"EOL dépassée",IF(T441&lt;=180,"&lt; 6 mois",IF(T441&lt;=365,"&lt; 12 mois","OK"))))</x:f>
      </x:c>
    </x:row>
    <x:row r="442">
      <x:c r="A442" s="82"/>
      <x:c r="B442" s="82"/>
      <x:c r="C442" s="82"/>
      <x:c r="D442" s="82"/>
      <x:c r="E442" s="82"/>
      <x:c r="F442" s="82"/>
      <x:c r="G442" s="82"/>
      <x:c r="H442" s="82"/>
      <x:c r="I442" s="82"/>
      <x:c r="J442" s="110"/>
      <x:c r="K442" s="82"/>
      <x:c r="L442" s="82"/>
      <x:c r="M442" s="82"/>
      <x:c r="N442" s="82"/>
      <x:c r="O442" s="110"/>
      <x:c r="P442" s="82"/>
      <x:c r="Q442" s="82"/>
      <x:c r="R442" s="82"/>
      <x:c r="S442" s="82"/>
      <x:c r="T442" s="144" t="str">
        <x:f>IF(J442="","",J442-TODAY())</x:f>
      </x:c>
      <x:c r="U442" s="82" t="str">
        <x:f>IF(J442="","",IF(T442&lt;0,"EOL dépassée",IF(T442&lt;=180,"&lt; 6 mois",IF(T442&lt;=365,"&lt; 12 mois","OK"))))</x:f>
      </x:c>
    </x:row>
    <x:row r="443">
      <x:c r="A443" s="82"/>
      <x:c r="B443" s="82"/>
      <x:c r="C443" s="82"/>
      <x:c r="D443" s="82"/>
      <x:c r="E443" s="82"/>
      <x:c r="F443" s="82"/>
      <x:c r="G443" s="82"/>
      <x:c r="H443" s="82"/>
      <x:c r="I443" s="82"/>
      <x:c r="J443" s="110"/>
      <x:c r="K443" s="82"/>
      <x:c r="L443" s="82"/>
      <x:c r="M443" s="82"/>
      <x:c r="N443" s="82"/>
      <x:c r="O443" s="110"/>
      <x:c r="P443" s="82"/>
      <x:c r="Q443" s="82"/>
      <x:c r="R443" s="82"/>
      <x:c r="S443" s="82"/>
      <x:c r="T443" s="144" t="str">
        <x:f>IF(J443="","",J443-TODAY())</x:f>
      </x:c>
      <x:c r="U443" s="82" t="str">
        <x:f>IF(J443="","",IF(T443&lt;0,"EOL dépassée",IF(T443&lt;=180,"&lt; 6 mois",IF(T443&lt;=365,"&lt; 12 mois","OK"))))</x:f>
      </x:c>
    </x:row>
    <x:row r="444">
      <x:c r="A444" s="82"/>
      <x:c r="B444" s="82"/>
      <x:c r="C444" s="82"/>
      <x:c r="D444" s="82"/>
      <x:c r="E444" s="82"/>
      <x:c r="F444" s="82"/>
      <x:c r="G444" s="82"/>
      <x:c r="H444" s="82"/>
      <x:c r="I444" s="82"/>
      <x:c r="J444" s="110"/>
      <x:c r="K444" s="82"/>
      <x:c r="L444" s="82"/>
      <x:c r="M444" s="82"/>
      <x:c r="N444" s="82"/>
      <x:c r="O444" s="110"/>
      <x:c r="P444" s="82"/>
      <x:c r="Q444" s="82"/>
      <x:c r="R444" s="82"/>
      <x:c r="S444" s="82"/>
      <x:c r="T444" s="144" t="str">
        <x:f>IF(J444="","",J444-TODAY())</x:f>
      </x:c>
      <x:c r="U444" s="82" t="str">
        <x:f>IF(J444="","",IF(T444&lt;0,"EOL dépassée",IF(T444&lt;=180,"&lt; 6 mois",IF(T444&lt;=365,"&lt; 12 mois","OK"))))</x:f>
      </x:c>
    </x:row>
    <x:row r="445">
      <x:c r="A445" s="82"/>
      <x:c r="B445" s="82"/>
      <x:c r="C445" s="82"/>
      <x:c r="D445" s="82"/>
      <x:c r="E445" s="82"/>
      <x:c r="F445" s="82"/>
      <x:c r="G445" s="82"/>
      <x:c r="H445" s="82"/>
      <x:c r="I445" s="82"/>
      <x:c r="J445" s="110"/>
      <x:c r="K445" s="82"/>
      <x:c r="L445" s="82"/>
      <x:c r="M445" s="82"/>
      <x:c r="N445" s="82"/>
      <x:c r="O445" s="110"/>
      <x:c r="P445" s="82"/>
      <x:c r="Q445" s="82"/>
      <x:c r="R445" s="82"/>
      <x:c r="S445" s="82"/>
      <x:c r="T445" s="144" t="str">
        <x:f>IF(J445="","",J445-TODAY())</x:f>
      </x:c>
      <x:c r="U445" s="82" t="str">
        <x:f>IF(J445="","",IF(T445&lt;0,"EOL dépassée",IF(T445&lt;=180,"&lt; 6 mois",IF(T445&lt;=365,"&lt; 12 mois","OK"))))</x:f>
      </x:c>
    </x:row>
    <x:row r="446">
      <x:c r="A446" s="82"/>
      <x:c r="B446" s="82"/>
      <x:c r="C446" s="82"/>
      <x:c r="D446" s="82"/>
      <x:c r="E446" s="82"/>
      <x:c r="F446" s="82"/>
      <x:c r="G446" s="82"/>
      <x:c r="H446" s="82"/>
      <x:c r="I446" s="82"/>
      <x:c r="J446" s="110"/>
      <x:c r="K446" s="82"/>
      <x:c r="L446" s="82"/>
      <x:c r="M446" s="82"/>
      <x:c r="N446" s="82"/>
      <x:c r="O446" s="110"/>
      <x:c r="P446" s="82"/>
      <x:c r="Q446" s="82"/>
      <x:c r="R446" s="82"/>
      <x:c r="S446" s="82"/>
      <x:c r="T446" s="144" t="str">
        <x:f>IF(J446="","",J446-TODAY())</x:f>
      </x:c>
      <x:c r="U446" s="82" t="str">
        <x:f>IF(J446="","",IF(T446&lt;0,"EOL dépassée",IF(T446&lt;=180,"&lt; 6 mois",IF(T446&lt;=365,"&lt; 12 mois","OK"))))</x:f>
      </x:c>
    </x:row>
    <x:row r="447">
      <x:c r="A447" s="82"/>
      <x:c r="B447" s="82"/>
      <x:c r="C447" s="82"/>
      <x:c r="D447" s="82"/>
      <x:c r="E447" s="82"/>
      <x:c r="F447" s="82"/>
      <x:c r="G447" s="82"/>
      <x:c r="H447" s="82"/>
      <x:c r="I447" s="82"/>
      <x:c r="J447" s="110"/>
      <x:c r="K447" s="82"/>
      <x:c r="L447" s="82"/>
      <x:c r="M447" s="82"/>
      <x:c r="N447" s="82"/>
      <x:c r="O447" s="110"/>
      <x:c r="P447" s="82"/>
      <x:c r="Q447" s="82"/>
      <x:c r="R447" s="82"/>
      <x:c r="S447" s="82"/>
      <x:c r="T447" s="144" t="str">
        <x:f>IF(J447="","",J447-TODAY())</x:f>
      </x:c>
      <x:c r="U447" s="82" t="str">
        <x:f>IF(J447="","",IF(T447&lt;0,"EOL dépassée",IF(T447&lt;=180,"&lt; 6 mois",IF(T447&lt;=365,"&lt; 12 mois","OK"))))</x:f>
      </x:c>
    </x:row>
    <x:row r="448">
      <x:c r="A448" s="82"/>
      <x:c r="B448" s="82"/>
      <x:c r="C448" s="82"/>
      <x:c r="D448" s="82"/>
      <x:c r="E448" s="82"/>
      <x:c r="F448" s="82"/>
      <x:c r="G448" s="82"/>
      <x:c r="H448" s="82"/>
      <x:c r="I448" s="82"/>
      <x:c r="J448" s="110"/>
      <x:c r="K448" s="82"/>
      <x:c r="L448" s="82"/>
      <x:c r="M448" s="82"/>
      <x:c r="N448" s="82"/>
      <x:c r="O448" s="110"/>
      <x:c r="P448" s="82"/>
      <x:c r="Q448" s="82"/>
      <x:c r="R448" s="82"/>
      <x:c r="S448" s="82"/>
      <x:c r="T448" s="144" t="str">
        <x:f>IF(J448="","",J448-TODAY())</x:f>
      </x:c>
      <x:c r="U448" s="82" t="str">
        <x:f>IF(J448="","",IF(T448&lt;0,"EOL dépassée",IF(T448&lt;=180,"&lt; 6 mois",IF(T448&lt;=365,"&lt; 12 mois","OK"))))</x:f>
      </x:c>
    </x:row>
    <x:row r="449">
      <x:c r="A449" s="82"/>
      <x:c r="B449" s="82"/>
      <x:c r="C449" s="82"/>
      <x:c r="D449" s="82"/>
      <x:c r="E449" s="82"/>
      <x:c r="F449" s="82"/>
      <x:c r="G449" s="82"/>
      <x:c r="H449" s="82"/>
      <x:c r="I449" s="82"/>
      <x:c r="J449" s="110"/>
      <x:c r="K449" s="82"/>
      <x:c r="L449" s="82"/>
      <x:c r="M449" s="82"/>
      <x:c r="N449" s="82"/>
      <x:c r="O449" s="110"/>
      <x:c r="P449" s="82"/>
      <x:c r="Q449" s="82"/>
      <x:c r="R449" s="82"/>
      <x:c r="S449" s="82"/>
      <x:c r="T449" s="144" t="str">
        <x:f>IF(J449="","",J449-TODAY())</x:f>
      </x:c>
      <x:c r="U449" s="82" t="str">
        <x:f>IF(J449="","",IF(T449&lt;0,"EOL dépassée",IF(T449&lt;=180,"&lt; 6 mois",IF(T449&lt;=365,"&lt; 12 mois","OK"))))</x:f>
      </x:c>
    </x:row>
    <x:row r="450">
      <x:c r="A450" s="82"/>
      <x:c r="B450" s="82"/>
      <x:c r="C450" s="82"/>
      <x:c r="D450" s="82"/>
      <x:c r="E450" s="82"/>
      <x:c r="F450" s="82"/>
      <x:c r="G450" s="82"/>
      <x:c r="H450" s="82"/>
      <x:c r="I450" s="82"/>
      <x:c r="J450" s="110"/>
      <x:c r="K450" s="82"/>
      <x:c r="L450" s="82"/>
      <x:c r="M450" s="82"/>
      <x:c r="N450" s="82"/>
      <x:c r="O450" s="110"/>
      <x:c r="P450" s="82"/>
      <x:c r="Q450" s="82"/>
      <x:c r="R450" s="82"/>
      <x:c r="S450" s="82"/>
      <x:c r="T450" s="144" t="str">
        <x:f>IF(J450="","",J450-TODAY())</x:f>
      </x:c>
      <x:c r="U450" s="82" t="str">
        <x:f>IF(J450="","",IF(T450&lt;0,"EOL dépassée",IF(T450&lt;=180,"&lt; 6 mois",IF(T450&lt;=365,"&lt; 12 mois","OK"))))</x:f>
      </x:c>
    </x:row>
    <x:row r="451">
      <x:c r="A451" s="82"/>
      <x:c r="B451" s="82"/>
      <x:c r="C451" s="82"/>
      <x:c r="D451" s="82"/>
      <x:c r="E451" s="82"/>
      <x:c r="F451" s="82"/>
      <x:c r="G451" s="82"/>
      <x:c r="H451" s="82"/>
      <x:c r="I451" s="82"/>
      <x:c r="J451" s="110"/>
      <x:c r="K451" s="82"/>
      <x:c r="L451" s="82"/>
      <x:c r="M451" s="82"/>
      <x:c r="N451" s="82"/>
      <x:c r="O451" s="110"/>
      <x:c r="P451" s="82"/>
      <x:c r="Q451" s="82"/>
      <x:c r="R451" s="82"/>
      <x:c r="S451" s="82"/>
      <x:c r="T451" s="144" t="str">
        <x:f>IF(J451="","",J451-TODAY())</x:f>
      </x:c>
      <x:c r="U451" s="82" t="str">
        <x:f>IF(J451="","",IF(T451&lt;0,"EOL dépassée",IF(T451&lt;=180,"&lt; 6 mois",IF(T451&lt;=365,"&lt; 12 mois","OK"))))</x:f>
      </x:c>
    </x:row>
    <x:row r="452">
      <x:c r="A452" s="82"/>
      <x:c r="B452" s="82"/>
      <x:c r="C452" s="82"/>
      <x:c r="D452" s="82"/>
      <x:c r="E452" s="82"/>
      <x:c r="F452" s="82"/>
      <x:c r="G452" s="82"/>
      <x:c r="H452" s="82"/>
      <x:c r="I452" s="82"/>
      <x:c r="J452" s="110"/>
      <x:c r="K452" s="82"/>
      <x:c r="L452" s="82"/>
      <x:c r="M452" s="82"/>
      <x:c r="N452" s="82"/>
      <x:c r="O452" s="110"/>
      <x:c r="P452" s="82"/>
      <x:c r="Q452" s="82"/>
      <x:c r="R452" s="82"/>
      <x:c r="S452" s="82"/>
      <x:c r="T452" s="144" t="str">
        <x:f>IF(J452="","",J452-TODAY())</x:f>
      </x:c>
      <x:c r="U452" s="82" t="str">
        <x:f>IF(J452="","",IF(T452&lt;0,"EOL dépassée",IF(T452&lt;=180,"&lt; 6 mois",IF(T452&lt;=365,"&lt; 12 mois","OK"))))</x:f>
      </x:c>
    </x:row>
    <x:row r="453">
      <x:c r="A453" s="82"/>
      <x:c r="B453" s="82"/>
      <x:c r="C453" s="82"/>
      <x:c r="D453" s="82"/>
      <x:c r="E453" s="82"/>
      <x:c r="F453" s="82"/>
      <x:c r="G453" s="82"/>
      <x:c r="H453" s="82"/>
      <x:c r="I453" s="82"/>
      <x:c r="J453" s="110"/>
      <x:c r="K453" s="82"/>
      <x:c r="L453" s="82"/>
      <x:c r="M453" s="82"/>
      <x:c r="N453" s="82"/>
      <x:c r="O453" s="110"/>
      <x:c r="P453" s="82"/>
      <x:c r="Q453" s="82"/>
      <x:c r="R453" s="82"/>
      <x:c r="S453" s="82"/>
      <x:c r="T453" s="144" t="str">
        <x:f>IF(J453="","",J453-TODAY())</x:f>
      </x:c>
      <x:c r="U453" s="82" t="str">
        <x:f>IF(J453="","",IF(T453&lt;0,"EOL dépassée",IF(T453&lt;=180,"&lt; 6 mois",IF(T453&lt;=365,"&lt; 12 mois","OK"))))</x:f>
      </x:c>
    </x:row>
    <x:row r="454">
      <x:c r="A454" s="82"/>
      <x:c r="B454" s="82"/>
      <x:c r="C454" s="82"/>
      <x:c r="D454" s="82"/>
      <x:c r="E454" s="82"/>
      <x:c r="F454" s="82"/>
      <x:c r="G454" s="82"/>
      <x:c r="H454" s="82"/>
      <x:c r="I454" s="82"/>
      <x:c r="J454" s="110"/>
      <x:c r="K454" s="82"/>
      <x:c r="L454" s="82"/>
      <x:c r="M454" s="82"/>
      <x:c r="N454" s="82"/>
      <x:c r="O454" s="110"/>
      <x:c r="P454" s="82"/>
      <x:c r="Q454" s="82"/>
      <x:c r="R454" s="82"/>
      <x:c r="S454" s="82"/>
      <x:c r="T454" s="144" t="str">
        <x:f>IF(J454="","",J454-TODAY())</x:f>
      </x:c>
      <x:c r="U454" s="82" t="str">
        <x:f>IF(J454="","",IF(T454&lt;0,"EOL dépassée",IF(T454&lt;=180,"&lt; 6 mois",IF(T454&lt;=365,"&lt; 12 mois","OK"))))</x:f>
      </x:c>
    </x:row>
    <x:row r="455">
      <x:c r="A455" s="82"/>
      <x:c r="B455" s="82"/>
      <x:c r="C455" s="82"/>
      <x:c r="D455" s="82"/>
      <x:c r="E455" s="82"/>
      <x:c r="F455" s="82"/>
      <x:c r="G455" s="82"/>
      <x:c r="H455" s="82"/>
      <x:c r="I455" s="82"/>
      <x:c r="J455" s="110"/>
      <x:c r="K455" s="82"/>
      <x:c r="L455" s="82"/>
      <x:c r="M455" s="82"/>
      <x:c r="N455" s="82"/>
      <x:c r="O455" s="110"/>
      <x:c r="P455" s="82"/>
      <x:c r="Q455" s="82"/>
      <x:c r="R455" s="82"/>
      <x:c r="S455" s="82"/>
      <x:c r="T455" s="144" t="str">
        <x:f>IF(J455="","",J455-TODAY())</x:f>
      </x:c>
      <x:c r="U455" s="82" t="str">
        <x:f>IF(J455="","",IF(T455&lt;0,"EOL dépassée",IF(T455&lt;=180,"&lt; 6 mois",IF(T455&lt;=365,"&lt; 12 mois","OK"))))</x:f>
      </x:c>
    </x:row>
    <x:row r="456">
      <x:c r="A456" s="82"/>
      <x:c r="B456" s="82"/>
      <x:c r="C456" s="82"/>
      <x:c r="D456" s="82"/>
      <x:c r="E456" s="82"/>
      <x:c r="F456" s="82"/>
      <x:c r="G456" s="82"/>
      <x:c r="H456" s="82"/>
      <x:c r="I456" s="82"/>
      <x:c r="J456" s="110"/>
      <x:c r="K456" s="82"/>
      <x:c r="L456" s="82"/>
      <x:c r="M456" s="82"/>
      <x:c r="N456" s="82"/>
      <x:c r="O456" s="110"/>
      <x:c r="P456" s="82"/>
      <x:c r="Q456" s="82"/>
      <x:c r="R456" s="82"/>
      <x:c r="S456" s="82"/>
      <x:c r="T456" s="144" t="str">
        <x:f>IF(J456="","",J456-TODAY())</x:f>
      </x:c>
      <x:c r="U456" s="82" t="str">
        <x:f>IF(J456="","",IF(T456&lt;0,"EOL dépassée",IF(T456&lt;=180,"&lt; 6 mois",IF(T456&lt;=365,"&lt; 12 mois","OK"))))</x:f>
      </x:c>
    </x:row>
    <x:row r="457">
      <x:c r="A457" s="82"/>
      <x:c r="B457" s="82"/>
      <x:c r="C457" s="82"/>
      <x:c r="D457" s="82"/>
      <x:c r="E457" s="82"/>
      <x:c r="F457" s="82"/>
      <x:c r="G457" s="82"/>
      <x:c r="H457" s="82"/>
      <x:c r="I457" s="82"/>
      <x:c r="J457" s="110"/>
      <x:c r="K457" s="82"/>
      <x:c r="L457" s="82"/>
      <x:c r="M457" s="82"/>
      <x:c r="N457" s="82"/>
      <x:c r="O457" s="110"/>
      <x:c r="P457" s="82"/>
      <x:c r="Q457" s="82"/>
      <x:c r="R457" s="82"/>
      <x:c r="S457" s="82"/>
      <x:c r="T457" s="144" t="str">
        <x:f>IF(J457="","",J457-TODAY())</x:f>
      </x:c>
      <x:c r="U457" s="82" t="str">
        <x:f>IF(J457="","",IF(T457&lt;0,"EOL dépassée",IF(T457&lt;=180,"&lt; 6 mois",IF(T457&lt;=365,"&lt; 12 mois","OK"))))</x:f>
      </x:c>
    </x:row>
    <x:row r="458">
      <x:c r="A458" s="82"/>
      <x:c r="B458" s="82"/>
      <x:c r="C458" s="82"/>
      <x:c r="D458" s="82"/>
      <x:c r="E458" s="82"/>
      <x:c r="F458" s="82"/>
      <x:c r="G458" s="82"/>
      <x:c r="H458" s="82"/>
      <x:c r="I458" s="82"/>
      <x:c r="J458" s="110"/>
      <x:c r="K458" s="82"/>
      <x:c r="L458" s="82"/>
      <x:c r="M458" s="82"/>
      <x:c r="N458" s="82"/>
      <x:c r="O458" s="110"/>
      <x:c r="P458" s="82"/>
      <x:c r="Q458" s="82"/>
      <x:c r="R458" s="82"/>
      <x:c r="S458" s="82"/>
      <x:c r="T458" s="144" t="str">
        <x:f>IF(J458="","",J458-TODAY())</x:f>
      </x:c>
      <x:c r="U458" s="82" t="str">
        <x:f>IF(J458="","",IF(T458&lt;0,"EOL dépassée",IF(T458&lt;=180,"&lt; 6 mois",IF(T458&lt;=365,"&lt; 12 mois","OK"))))</x:f>
      </x:c>
    </x:row>
    <x:row r="459">
      <x:c r="A459" s="82"/>
      <x:c r="B459" s="82"/>
      <x:c r="C459" s="82"/>
      <x:c r="D459" s="82"/>
      <x:c r="E459" s="82"/>
      <x:c r="F459" s="82"/>
      <x:c r="G459" s="82"/>
      <x:c r="H459" s="82"/>
      <x:c r="I459" s="82"/>
      <x:c r="J459" s="110"/>
      <x:c r="K459" s="82"/>
      <x:c r="L459" s="82"/>
      <x:c r="M459" s="82"/>
      <x:c r="N459" s="82"/>
      <x:c r="O459" s="110"/>
      <x:c r="P459" s="82"/>
      <x:c r="Q459" s="82"/>
      <x:c r="R459" s="82"/>
      <x:c r="S459" s="82"/>
      <x:c r="T459" s="144" t="str">
        <x:f>IF(J459="","",J459-TODAY())</x:f>
      </x:c>
      <x:c r="U459" s="82" t="str">
        <x:f>IF(J459="","",IF(T459&lt;0,"EOL dépassée",IF(T459&lt;=180,"&lt; 6 mois",IF(T459&lt;=365,"&lt; 12 mois","OK"))))</x:f>
      </x:c>
    </x:row>
    <x:row r="460">
      <x:c r="A460" s="82"/>
      <x:c r="B460" s="82"/>
      <x:c r="C460" s="82"/>
      <x:c r="D460" s="82"/>
      <x:c r="E460" s="82"/>
      <x:c r="F460" s="82"/>
      <x:c r="G460" s="82"/>
      <x:c r="H460" s="82"/>
      <x:c r="I460" s="82"/>
      <x:c r="J460" s="110"/>
      <x:c r="K460" s="82"/>
      <x:c r="L460" s="82"/>
      <x:c r="M460" s="82"/>
      <x:c r="N460" s="82"/>
      <x:c r="O460" s="110"/>
      <x:c r="P460" s="82"/>
      <x:c r="Q460" s="82"/>
      <x:c r="R460" s="82"/>
      <x:c r="S460" s="82"/>
      <x:c r="T460" s="144" t="str">
        <x:f>IF(J460="","",J460-TODAY())</x:f>
      </x:c>
      <x:c r="U460" s="82" t="str">
        <x:f>IF(J460="","",IF(T460&lt;0,"EOL dépassée",IF(T460&lt;=180,"&lt; 6 mois",IF(T460&lt;=365,"&lt; 12 mois","OK"))))</x:f>
      </x:c>
    </x:row>
    <x:row r="461">
      <x:c r="A461" s="82"/>
      <x:c r="B461" s="82"/>
      <x:c r="C461" s="82"/>
      <x:c r="D461" s="82"/>
      <x:c r="E461" s="82"/>
      <x:c r="F461" s="82"/>
      <x:c r="G461" s="82"/>
      <x:c r="H461" s="82"/>
      <x:c r="I461" s="82"/>
      <x:c r="J461" s="110"/>
      <x:c r="K461" s="82"/>
      <x:c r="L461" s="82"/>
      <x:c r="M461" s="82"/>
      <x:c r="N461" s="82"/>
      <x:c r="O461" s="110"/>
      <x:c r="P461" s="82"/>
      <x:c r="Q461" s="82"/>
      <x:c r="R461" s="82"/>
      <x:c r="S461" s="82"/>
      <x:c r="T461" s="144" t="str">
        <x:f>IF(J461="","",J461-TODAY())</x:f>
      </x:c>
      <x:c r="U461" s="82" t="str">
        <x:f>IF(J461="","",IF(T461&lt;0,"EOL dépassée",IF(T461&lt;=180,"&lt; 6 mois",IF(T461&lt;=365,"&lt; 12 mois","OK"))))</x:f>
      </x:c>
    </x:row>
    <x:row r="462">
      <x:c r="A462" s="82"/>
      <x:c r="B462" s="82"/>
      <x:c r="C462" s="82"/>
      <x:c r="D462" s="82"/>
      <x:c r="E462" s="82"/>
      <x:c r="F462" s="82"/>
      <x:c r="G462" s="82"/>
      <x:c r="H462" s="82"/>
      <x:c r="I462" s="82"/>
      <x:c r="J462" s="110"/>
      <x:c r="K462" s="82"/>
      <x:c r="L462" s="82"/>
      <x:c r="M462" s="82"/>
      <x:c r="N462" s="82"/>
      <x:c r="O462" s="110"/>
      <x:c r="P462" s="82"/>
      <x:c r="Q462" s="82"/>
      <x:c r="R462" s="82"/>
      <x:c r="S462" s="82"/>
      <x:c r="T462" s="144" t="str">
        <x:f>IF(J462="","",J462-TODAY())</x:f>
      </x:c>
      <x:c r="U462" s="82" t="str">
        <x:f>IF(J462="","",IF(T462&lt;0,"EOL dépassée",IF(T462&lt;=180,"&lt; 6 mois",IF(T462&lt;=365,"&lt; 12 mois","OK"))))</x:f>
      </x:c>
    </x:row>
    <x:row r="463">
      <x:c r="A463" s="82"/>
      <x:c r="B463" s="82"/>
      <x:c r="C463" s="82"/>
      <x:c r="D463" s="82"/>
      <x:c r="E463" s="82"/>
      <x:c r="F463" s="82"/>
      <x:c r="G463" s="82"/>
      <x:c r="H463" s="82"/>
      <x:c r="I463" s="82"/>
      <x:c r="J463" s="110"/>
      <x:c r="K463" s="82"/>
      <x:c r="L463" s="82"/>
      <x:c r="M463" s="82"/>
      <x:c r="N463" s="82"/>
      <x:c r="O463" s="110"/>
      <x:c r="P463" s="82"/>
      <x:c r="Q463" s="82"/>
      <x:c r="R463" s="82"/>
      <x:c r="S463" s="82"/>
      <x:c r="T463" s="144" t="str">
        <x:f>IF(J463="","",J463-TODAY())</x:f>
      </x:c>
      <x:c r="U463" s="82" t="str">
        <x:f>IF(J463="","",IF(T463&lt;0,"EOL dépassée",IF(T463&lt;=180,"&lt; 6 mois",IF(T463&lt;=365,"&lt; 12 mois","OK"))))</x:f>
      </x:c>
    </x:row>
    <x:row r="464">
      <x:c r="A464" s="82"/>
      <x:c r="B464" s="82"/>
      <x:c r="C464" s="82"/>
      <x:c r="D464" s="82"/>
      <x:c r="E464" s="82"/>
      <x:c r="F464" s="82"/>
      <x:c r="G464" s="82"/>
      <x:c r="H464" s="82"/>
      <x:c r="I464" s="82"/>
      <x:c r="J464" s="110"/>
      <x:c r="K464" s="82"/>
      <x:c r="L464" s="82"/>
      <x:c r="M464" s="82"/>
      <x:c r="N464" s="82"/>
      <x:c r="O464" s="110"/>
      <x:c r="P464" s="82"/>
      <x:c r="Q464" s="82"/>
      <x:c r="R464" s="82"/>
      <x:c r="S464" s="82"/>
      <x:c r="T464" s="144" t="str">
        <x:f>IF(J464="","",J464-TODAY())</x:f>
      </x:c>
      <x:c r="U464" s="82" t="str">
        <x:f>IF(J464="","",IF(T464&lt;0,"EOL dépassée",IF(T464&lt;=180,"&lt; 6 mois",IF(T464&lt;=365,"&lt; 12 mois","OK"))))</x:f>
      </x:c>
    </x:row>
    <x:row r="465">
      <x:c r="A465" s="82"/>
      <x:c r="B465" s="82"/>
      <x:c r="C465" s="82"/>
      <x:c r="D465" s="82"/>
      <x:c r="E465" s="82"/>
      <x:c r="F465" s="82"/>
      <x:c r="G465" s="82"/>
      <x:c r="H465" s="82"/>
      <x:c r="I465" s="82"/>
      <x:c r="J465" s="110"/>
      <x:c r="K465" s="82"/>
      <x:c r="L465" s="82"/>
      <x:c r="M465" s="82"/>
      <x:c r="N465" s="82"/>
      <x:c r="O465" s="110"/>
      <x:c r="P465" s="82"/>
      <x:c r="Q465" s="82"/>
      <x:c r="R465" s="82"/>
      <x:c r="S465" s="82"/>
      <x:c r="T465" s="144" t="str">
        <x:f>IF(J465="","",J465-TODAY())</x:f>
      </x:c>
      <x:c r="U465" s="82" t="str">
        <x:f>IF(J465="","",IF(T465&lt;0,"EOL dépassée",IF(T465&lt;=180,"&lt; 6 mois",IF(T465&lt;=365,"&lt; 12 mois","OK"))))</x:f>
      </x:c>
    </x:row>
    <x:row r="466">
      <x:c r="A466" s="82"/>
      <x:c r="B466" s="82"/>
      <x:c r="C466" s="82"/>
      <x:c r="D466" s="82"/>
      <x:c r="E466" s="82"/>
      <x:c r="F466" s="82"/>
      <x:c r="G466" s="82"/>
      <x:c r="H466" s="82"/>
      <x:c r="I466" s="82"/>
      <x:c r="J466" s="110"/>
      <x:c r="K466" s="82"/>
      <x:c r="L466" s="82"/>
      <x:c r="M466" s="82"/>
      <x:c r="N466" s="82"/>
      <x:c r="O466" s="110"/>
      <x:c r="P466" s="82"/>
      <x:c r="Q466" s="82"/>
      <x:c r="R466" s="82"/>
      <x:c r="S466" s="82"/>
      <x:c r="T466" s="144" t="str">
        <x:f>IF(J466="","",J466-TODAY())</x:f>
      </x:c>
      <x:c r="U466" s="82" t="str">
        <x:f>IF(J466="","",IF(T466&lt;0,"EOL dépassée",IF(T466&lt;=180,"&lt; 6 mois",IF(T466&lt;=365,"&lt; 12 mois","OK"))))</x:f>
      </x:c>
    </x:row>
    <x:row r="467">
      <x:c r="A467" s="82"/>
      <x:c r="B467" s="82"/>
      <x:c r="C467" s="82"/>
      <x:c r="D467" s="82"/>
      <x:c r="E467" s="82"/>
      <x:c r="F467" s="82"/>
      <x:c r="G467" s="82"/>
      <x:c r="H467" s="82"/>
      <x:c r="I467" s="82"/>
      <x:c r="J467" s="110"/>
      <x:c r="K467" s="82"/>
      <x:c r="L467" s="82"/>
      <x:c r="M467" s="82"/>
      <x:c r="N467" s="82"/>
      <x:c r="O467" s="110"/>
      <x:c r="P467" s="82"/>
      <x:c r="Q467" s="82"/>
      <x:c r="R467" s="82"/>
      <x:c r="S467" s="82"/>
      <x:c r="T467" s="144" t="str">
        <x:f>IF(J467="","",J467-TODAY())</x:f>
      </x:c>
      <x:c r="U467" s="82" t="str">
        <x:f>IF(J467="","",IF(T467&lt;0,"EOL dépassée",IF(T467&lt;=180,"&lt; 6 mois",IF(T467&lt;=365,"&lt; 12 mois","OK"))))</x:f>
      </x:c>
    </x:row>
    <x:row r="468">
      <x:c r="A468" s="82"/>
      <x:c r="B468" s="82"/>
      <x:c r="C468" s="82"/>
      <x:c r="D468" s="82"/>
      <x:c r="E468" s="82"/>
      <x:c r="F468" s="82"/>
      <x:c r="G468" s="82"/>
      <x:c r="H468" s="82"/>
      <x:c r="I468" s="82"/>
      <x:c r="J468" s="110"/>
      <x:c r="K468" s="82"/>
      <x:c r="L468" s="82"/>
      <x:c r="M468" s="82"/>
      <x:c r="N468" s="82"/>
      <x:c r="O468" s="110"/>
      <x:c r="P468" s="82"/>
      <x:c r="Q468" s="82"/>
      <x:c r="R468" s="82"/>
      <x:c r="S468" s="82"/>
      <x:c r="T468" s="144" t="str">
        <x:f>IF(J468="","",J468-TODAY())</x:f>
      </x:c>
      <x:c r="U468" s="82" t="str">
        <x:f>IF(J468="","",IF(T468&lt;0,"EOL dépassée",IF(T468&lt;=180,"&lt; 6 mois",IF(T468&lt;=365,"&lt; 12 mois","OK"))))</x:f>
      </x:c>
    </x:row>
    <x:row r="469">
      <x:c r="A469" s="82"/>
      <x:c r="B469" s="82"/>
      <x:c r="C469" s="82"/>
      <x:c r="D469" s="82"/>
      <x:c r="E469" s="82"/>
      <x:c r="F469" s="82"/>
      <x:c r="G469" s="82"/>
      <x:c r="H469" s="82"/>
      <x:c r="I469" s="82"/>
      <x:c r="J469" s="110"/>
      <x:c r="K469" s="82"/>
      <x:c r="L469" s="82"/>
      <x:c r="M469" s="82"/>
      <x:c r="N469" s="82"/>
      <x:c r="O469" s="110"/>
      <x:c r="P469" s="82"/>
      <x:c r="Q469" s="82"/>
      <x:c r="R469" s="82"/>
      <x:c r="S469" s="82"/>
      <x:c r="T469" s="144" t="str">
        <x:f>IF(J469="","",J469-TODAY())</x:f>
      </x:c>
      <x:c r="U469" s="82" t="str">
        <x:f>IF(J469="","",IF(T469&lt;0,"EOL dépassée",IF(T469&lt;=180,"&lt; 6 mois",IF(T469&lt;=365,"&lt; 12 mois","OK"))))</x:f>
      </x:c>
    </x:row>
    <x:row r="470">
      <x:c r="A470" s="82"/>
      <x:c r="B470" s="82"/>
      <x:c r="C470" s="82"/>
      <x:c r="D470" s="82"/>
      <x:c r="E470" s="82"/>
      <x:c r="F470" s="82"/>
      <x:c r="G470" s="82"/>
      <x:c r="H470" s="82"/>
      <x:c r="I470" s="82"/>
      <x:c r="J470" s="110"/>
      <x:c r="K470" s="82"/>
      <x:c r="L470" s="82"/>
      <x:c r="M470" s="82"/>
      <x:c r="N470" s="82"/>
      <x:c r="O470" s="110"/>
      <x:c r="P470" s="82"/>
      <x:c r="Q470" s="82"/>
      <x:c r="R470" s="82"/>
      <x:c r="S470" s="82"/>
      <x:c r="T470" s="144" t="str">
        <x:f>IF(J470="","",J470-TODAY())</x:f>
      </x:c>
      <x:c r="U470" s="82" t="str">
        <x:f>IF(J470="","",IF(T470&lt;0,"EOL dépassée",IF(T470&lt;=180,"&lt; 6 mois",IF(T470&lt;=365,"&lt; 12 mois","OK"))))</x:f>
      </x:c>
    </x:row>
    <x:row r="471">
      <x:c r="A471" s="82"/>
      <x:c r="B471" s="82"/>
      <x:c r="C471" s="82"/>
      <x:c r="D471" s="82"/>
      <x:c r="E471" s="82"/>
      <x:c r="F471" s="82"/>
      <x:c r="G471" s="82"/>
      <x:c r="H471" s="82"/>
      <x:c r="I471" s="82"/>
      <x:c r="J471" s="110"/>
      <x:c r="K471" s="82"/>
      <x:c r="L471" s="82"/>
      <x:c r="M471" s="82"/>
      <x:c r="N471" s="82"/>
      <x:c r="O471" s="110"/>
      <x:c r="P471" s="82"/>
      <x:c r="Q471" s="82"/>
      <x:c r="R471" s="82"/>
      <x:c r="S471" s="82"/>
      <x:c r="T471" s="144" t="str">
        <x:f>IF(J471="","",J471-TODAY())</x:f>
      </x:c>
      <x:c r="U471" s="82" t="str">
        <x:f>IF(J471="","",IF(T471&lt;0,"EOL dépassée",IF(T471&lt;=180,"&lt; 6 mois",IF(T471&lt;=365,"&lt; 12 mois","OK"))))</x:f>
      </x:c>
    </x:row>
    <x:row r="472">
      <x:c r="A472" s="82"/>
      <x:c r="B472" s="82"/>
      <x:c r="C472" s="82"/>
      <x:c r="D472" s="82"/>
      <x:c r="E472" s="82"/>
      <x:c r="F472" s="82"/>
      <x:c r="G472" s="82"/>
      <x:c r="H472" s="82"/>
      <x:c r="I472" s="82"/>
      <x:c r="J472" s="110"/>
      <x:c r="K472" s="82"/>
      <x:c r="L472" s="82"/>
      <x:c r="M472" s="82"/>
      <x:c r="N472" s="82"/>
      <x:c r="O472" s="110"/>
      <x:c r="P472" s="82"/>
      <x:c r="Q472" s="82"/>
      <x:c r="R472" s="82"/>
      <x:c r="S472" s="82"/>
      <x:c r="T472" s="144" t="str">
        <x:f>IF(J472="","",J472-TODAY())</x:f>
      </x:c>
      <x:c r="U472" s="82" t="str">
        <x:f>IF(J472="","",IF(T472&lt;0,"EOL dépassée",IF(T472&lt;=180,"&lt; 6 mois",IF(T472&lt;=365,"&lt; 12 mois","OK"))))</x:f>
      </x:c>
    </x:row>
    <x:row r="473">
      <x:c r="A473" s="82"/>
      <x:c r="B473" s="82"/>
      <x:c r="C473" s="82"/>
      <x:c r="D473" s="82"/>
      <x:c r="E473" s="82"/>
      <x:c r="F473" s="82"/>
      <x:c r="G473" s="82"/>
      <x:c r="H473" s="82"/>
      <x:c r="I473" s="82"/>
      <x:c r="J473" s="110"/>
      <x:c r="K473" s="82"/>
      <x:c r="L473" s="82"/>
      <x:c r="M473" s="82"/>
      <x:c r="N473" s="82"/>
      <x:c r="O473" s="110"/>
      <x:c r="P473" s="82"/>
      <x:c r="Q473" s="82"/>
      <x:c r="R473" s="82"/>
      <x:c r="S473" s="82"/>
      <x:c r="T473" s="144" t="str">
        <x:f>IF(J473="","",J473-TODAY())</x:f>
      </x:c>
      <x:c r="U473" s="82" t="str">
        <x:f>IF(J473="","",IF(T473&lt;0,"EOL dépassée",IF(T473&lt;=180,"&lt; 6 mois",IF(T473&lt;=365,"&lt; 12 mois","OK"))))</x:f>
      </x:c>
    </x:row>
    <x:row r="474">
      <x:c r="A474" s="82"/>
      <x:c r="B474" s="82"/>
      <x:c r="C474" s="82"/>
      <x:c r="D474" s="82"/>
      <x:c r="E474" s="82"/>
      <x:c r="F474" s="82"/>
      <x:c r="G474" s="82"/>
      <x:c r="H474" s="82"/>
      <x:c r="I474" s="82"/>
      <x:c r="J474" s="110"/>
      <x:c r="K474" s="82"/>
      <x:c r="L474" s="82"/>
      <x:c r="M474" s="82"/>
      <x:c r="N474" s="82"/>
      <x:c r="O474" s="110"/>
      <x:c r="P474" s="82"/>
      <x:c r="Q474" s="82"/>
      <x:c r="R474" s="82"/>
      <x:c r="S474" s="82"/>
      <x:c r="T474" s="144" t="str">
        <x:f>IF(J474="","",J474-TODAY())</x:f>
      </x:c>
      <x:c r="U474" s="82" t="str">
        <x:f>IF(J474="","",IF(T474&lt;0,"EOL dépassée",IF(T474&lt;=180,"&lt; 6 mois",IF(T474&lt;=365,"&lt; 12 mois","OK"))))</x:f>
      </x:c>
    </x:row>
    <x:row r="475">
      <x:c r="A475" s="82"/>
      <x:c r="B475" s="82"/>
      <x:c r="C475" s="82"/>
      <x:c r="D475" s="82"/>
      <x:c r="E475" s="82"/>
      <x:c r="F475" s="82"/>
      <x:c r="G475" s="82"/>
      <x:c r="H475" s="82"/>
      <x:c r="I475" s="82"/>
      <x:c r="J475" s="110"/>
      <x:c r="K475" s="82"/>
      <x:c r="L475" s="82"/>
      <x:c r="M475" s="82"/>
      <x:c r="N475" s="82"/>
      <x:c r="O475" s="110"/>
      <x:c r="P475" s="82"/>
      <x:c r="Q475" s="82"/>
      <x:c r="R475" s="82"/>
      <x:c r="S475" s="82"/>
      <x:c r="T475" s="144" t="str">
        <x:f>IF(J475="","",J475-TODAY())</x:f>
      </x:c>
      <x:c r="U475" s="82" t="str">
        <x:f>IF(J475="","",IF(T475&lt;0,"EOL dépassée",IF(T475&lt;=180,"&lt; 6 mois",IF(T475&lt;=365,"&lt; 12 mois","OK"))))</x:f>
      </x:c>
    </x:row>
    <x:row r="476">
      <x:c r="A476" s="82"/>
      <x:c r="B476" s="82"/>
      <x:c r="C476" s="82"/>
      <x:c r="D476" s="82"/>
      <x:c r="E476" s="82"/>
      <x:c r="F476" s="82"/>
      <x:c r="G476" s="82"/>
      <x:c r="H476" s="82"/>
      <x:c r="I476" s="82"/>
      <x:c r="J476" s="110"/>
      <x:c r="K476" s="82"/>
      <x:c r="L476" s="82"/>
      <x:c r="M476" s="82"/>
      <x:c r="N476" s="82"/>
      <x:c r="O476" s="110"/>
      <x:c r="P476" s="82"/>
      <x:c r="Q476" s="82"/>
      <x:c r="R476" s="82"/>
      <x:c r="S476" s="82"/>
      <x:c r="T476" s="144" t="str">
        <x:f>IF(J476="","",J476-TODAY())</x:f>
      </x:c>
      <x:c r="U476" s="82" t="str">
        <x:f>IF(J476="","",IF(T476&lt;0,"EOL dépassée",IF(T476&lt;=180,"&lt; 6 mois",IF(T476&lt;=365,"&lt; 12 mois","OK"))))</x:f>
      </x:c>
    </x:row>
    <x:row r="477">
      <x:c r="A477" s="82"/>
      <x:c r="B477" s="82"/>
      <x:c r="C477" s="82"/>
      <x:c r="D477" s="82"/>
      <x:c r="E477" s="82"/>
      <x:c r="F477" s="82"/>
      <x:c r="G477" s="82"/>
      <x:c r="H477" s="82"/>
      <x:c r="I477" s="82"/>
      <x:c r="J477" s="110"/>
      <x:c r="K477" s="82"/>
      <x:c r="L477" s="82"/>
      <x:c r="M477" s="82"/>
      <x:c r="N477" s="82"/>
      <x:c r="O477" s="110"/>
      <x:c r="P477" s="82"/>
      <x:c r="Q477" s="82"/>
      <x:c r="R477" s="82"/>
      <x:c r="S477" s="82"/>
      <x:c r="T477" s="144" t="str">
        <x:f>IF(J477="","",J477-TODAY())</x:f>
      </x:c>
      <x:c r="U477" s="82" t="str">
        <x:f>IF(J477="","",IF(T477&lt;0,"EOL dépassée",IF(T477&lt;=180,"&lt; 6 mois",IF(T477&lt;=365,"&lt; 12 mois","OK"))))</x:f>
      </x:c>
    </x:row>
    <x:row r="478">
      <x:c r="A478" s="82"/>
      <x:c r="B478" s="82"/>
      <x:c r="C478" s="82"/>
      <x:c r="D478" s="82"/>
      <x:c r="E478" s="82"/>
      <x:c r="F478" s="82"/>
      <x:c r="G478" s="82"/>
      <x:c r="H478" s="82"/>
      <x:c r="I478" s="82"/>
      <x:c r="J478" s="110"/>
      <x:c r="K478" s="82"/>
      <x:c r="L478" s="82"/>
      <x:c r="M478" s="82"/>
      <x:c r="N478" s="82"/>
      <x:c r="O478" s="110"/>
      <x:c r="P478" s="82"/>
      <x:c r="Q478" s="82"/>
      <x:c r="R478" s="82"/>
      <x:c r="S478" s="82"/>
      <x:c r="T478" s="144" t="str">
        <x:f>IF(J478="","",J478-TODAY())</x:f>
      </x:c>
      <x:c r="U478" s="82" t="str">
        <x:f>IF(J478="","",IF(T478&lt;0,"EOL dépassée",IF(T478&lt;=180,"&lt; 6 mois",IF(T478&lt;=365,"&lt; 12 mois","OK"))))</x:f>
      </x:c>
    </x:row>
    <x:row r="479">
      <x:c r="A479" s="82"/>
      <x:c r="B479" s="82"/>
      <x:c r="C479" s="82"/>
      <x:c r="D479" s="82"/>
      <x:c r="E479" s="82"/>
      <x:c r="F479" s="82"/>
      <x:c r="G479" s="82"/>
      <x:c r="H479" s="82"/>
      <x:c r="I479" s="82"/>
      <x:c r="J479" s="110"/>
      <x:c r="K479" s="82"/>
      <x:c r="L479" s="82"/>
      <x:c r="M479" s="82"/>
      <x:c r="N479" s="82"/>
      <x:c r="O479" s="110"/>
      <x:c r="P479" s="82"/>
      <x:c r="Q479" s="82"/>
      <x:c r="R479" s="82"/>
      <x:c r="S479" s="82"/>
      <x:c r="T479" s="144" t="str">
        <x:f>IF(J479="","",J479-TODAY())</x:f>
      </x:c>
      <x:c r="U479" s="82" t="str">
        <x:f>IF(J479="","",IF(T479&lt;0,"EOL dépassée",IF(T479&lt;=180,"&lt; 6 mois",IF(T479&lt;=365,"&lt; 12 mois","OK"))))</x:f>
      </x:c>
    </x:row>
    <x:row r="480">
      <x:c r="A480" s="82"/>
      <x:c r="B480" s="82"/>
      <x:c r="C480" s="82"/>
      <x:c r="D480" s="82"/>
      <x:c r="E480" s="82"/>
      <x:c r="F480" s="82"/>
      <x:c r="G480" s="82"/>
      <x:c r="H480" s="82"/>
      <x:c r="I480" s="82"/>
      <x:c r="J480" s="110"/>
      <x:c r="K480" s="82"/>
      <x:c r="L480" s="82"/>
      <x:c r="M480" s="82"/>
      <x:c r="N480" s="82"/>
      <x:c r="O480" s="110"/>
      <x:c r="P480" s="82"/>
      <x:c r="Q480" s="82"/>
      <x:c r="R480" s="82"/>
      <x:c r="S480" s="82"/>
      <x:c r="T480" s="144" t="str">
        <x:f>IF(J480="","",J480-TODAY())</x:f>
      </x:c>
      <x:c r="U480" s="82" t="str">
        <x:f>IF(J480="","",IF(T480&lt;0,"EOL dépassée",IF(T480&lt;=180,"&lt; 6 mois",IF(T480&lt;=365,"&lt; 12 mois","OK"))))</x:f>
      </x:c>
    </x:row>
    <x:row r="481">
      <x:c r="A481" s="82"/>
      <x:c r="B481" s="82"/>
      <x:c r="C481" s="82"/>
      <x:c r="D481" s="82"/>
      <x:c r="E481" s="82"/>
      <x:c r="F481" s="82"/>
      <x:c r="G481" s="82"/>
      <x:c r="H481" s="82"/>
      <x:c r="I481" s="82"/>
      <x:c r="J481" s="110"/>
      <x:c r="K481" s="82"/>
      <x:c r="L481" s="82"/>
      <x:c r="M481" s="82"/>
      <x:c r="N481" s="82"/>
      <x:c r="O481" s="110"/>
      <x:c r="P481" s="82"/>
      <x:c r="Q481" s="82"/>
      <x:c r="R481" s="82"/>
      <x:c r="S481" s="82"/>
      <x:c r="T481" s="144" t="str">
        <x:f>IF(J481="","",J481-TODAY())</x:f>
      </x:c>
      <x:c r="U481" s="82" t="str">
        <x:f>IF(J481="","",IF(T481&lt;0,"EOL dépassée",IF(T481&lt;=180,"&lt; 6 mois",IF(T481&lt;=365,"&lt; 12 mois","OK"))))</x:f>
      </x:c>
    </x:row>
    <x:row r="482">
      <x:c r="A482" s="82"/>
      <x:c r="B482" s="82"/>
      <x:c r="C482" s="82"/>
      <x:c r="D482" s="82"/>
      <x:c r="E482" s="82"/>
      <x:c r="F482" s="82"/>
      <x:c r="G482" s="82"/>
      <x:c r="H482" s="82"/>
      <x:c r="I482" s="82"/>
      <x:c r="J482" s="110"/>
      <x:c r="K482" s="82"/>
      <x:c r="L482" s="82"/>
      <x:c r="M482" s="82"/>
      <x:c r="N482" s="82"/>
      <x:c r="O482" s="110"/>
      <x:c r="P482" s="82"/>
      <x:c r="Q482" s="82"/>
      <x:c r="R482" s="82"/>
      <x:c r="S482" s="82"/>
      <x:c r="T482" s="144" t="str">
        <x:f>IF(J482="","",J482-TODAY())</x:f>
      </x:c>
      <x:c r="U482" s="82" t="str">
        <x:f>IF(J482="","",IF(T482&lt;0,"EOL dépassée",IF(T482&lt;=180,"&lt; 6 mois",IF(T482&lt;=365,"&lt; 12 mois","OK"))))</x:f>
      </x:c>
    </x:row>
    <x:row r="483">
      <x:c r="A483" s="82"/>
      <x:c r="B483" s="82"/>
      <x:c r="C483" s="82"/>
      <x:c r="D483" s="82"/>
      <x:c r="E483" s="82"/>
      <x:c r="F483" s="82"/>
      <x:c r="G483" s="82"/>
      <x:c r="H483" s="82"/>
      <x:c r="I483" s="82"/>
      <x:c r="J483" s="110"/>
      <x:c r="K483" s="82"/>
      <x:c r="L483" s="82"/>
      <x:c r="M483" s="82"/>
      <x:c r="N483" s="82"/>
      <x:c r="O483" s="110"/>
      <x:c r="P483" s="82"/>
      <x:c r="Q483" s="82"/>
      <x:c r="R483" s="82"/>
      <x:c r="S483" s="82"/>
      <x:c r="T483" s="144" t="str">
        <x:f>IF(J483="","",J483-TODAY())</x:f>
      </x:c>
      <x:c r="U483" s="82" t="str">
        <x:f>IF(J483="","",IF(T483&lt;0,"EOL dépassée",IF(T483&lt;=180,"&lt; 6 mois",IF(T483&lt;=365,"&lt; 12 mois","OK"))))</x:f>
      </x:c>
    </x:row>
    <x:row r="484">
      <x:c r="A484" s="82"/>
      <x:c r="B484" s="82"/>
      <x:c r="C484" s="82"/>
      <x:c r="D484" s="82"/>
      <x:c r="E484" s="82"/>
      <x:c r="F484" s="82"/>
      <x:c r="G484" s="82"/>
      <x:c r="H484" s="82"/>
      <x:c r="I484" s="82"/>
      <x:c r="J484" s="110"/>
      <x:c r="K484" s="82"/>
      <x:c r="L484" s="82"/>
      <x:c r="M484" s="82"/>
      <x:c r="N484" s="82"/>
      <x:c r="O484" s="110"/>
      <x:c r="P484" s="82"/>
      <x:c r="Q484" s="82"/>
      <x:c r="R484" s="82"/>
      <x:c r="S484" s="82"/>
      <x:c r="T484" s="144" t="str">
        <x:f>IF(J484="","",J484-TODAY())</x:f>
      </x:c>
      <x:c r="U484" s="82" t="str">
        <x:f>IF(J484="","",IF(T484&lt;0,"EOL dépassée",IF(T484&lt;=180,"&lt; 6 mois",IF(T484&lt;=365,"&lt; 12 mois","OK"))))</x:f>
      </x:c>
    </x:row>
    <x:row r="485">
      <x:c r="A485" s="82"/>
      <x:c r="B485" s="82"/>
      <x:c r="C485" s="82"/>
      <x:c r="D485" s="82"/>
      <x:c r="E485" s="82"/>
      <x:c r="F485" s="82"/>
      <x:c r="G485" s="82"/>
      <x:c r="H485" s="82"/>
      <x:c r="I485" s="82"/>
      <x:c r="J485" s="110"/>
      <x:c r="K485" s="82"/>
      <x:c r="L485" s="82"/>
      <x:c r="M485" s="82"/>
      <x:c r="N485" s="82"/>
      <x:c r="O485" s="110"/>
      <x:c r="P485" s="82"/>
      <x:c r="Q485" s="82"/>
      <x:c r="R485" s="82"/>
      <x:c r="S485" s="82"/>
      <x:c r="T485" s="144" t="str">
        <x:f>IF(J485="","",J485-TODAY())</x:f>
      </x:c>
      <x:c r="U485" s="82" t="str">
        <x:f>IF(J485="","",IF(T485&lt;0,"EOL dépassée",IF(T485&lt;=180,"&lt; 6 mois",IF(T485&lt;=365,"&lt; 12 mois","OK"))))</x:f>
      </x:c>
    </x:row>
    <x:row r="486">
      <x:c r="A486" s="82"/>
      <x:c r="B486" s="82"/>
      <x:c r="C486" s="82"/>
      <x:c r="D486" s="82"/>
      <x:c r="E486" s="82"/>
      <x:c r="F486" s="82"/>
      <x:c r="G486" s="82"/>
      <x:c r="H486" s="82"/>
      <x:c r="I486" s="82"/>
      <x:c r="J486" s="110"/>
      <x:c r="K486" s="82"/>
      <x:c r="L486" s="82"/>
      <x:c r="M486" s="82"/>
      <x:c r="N486" s="82"/>
      <x:c r="O486" s="110"/>
      <x:c r="P486" s="82"/>
      <x:c r="Q486" s="82"/>
      <x:c r="R486" s="82"/>
      <x:c r="S486" s="82"/>
      <x:c r="T486" s="144" t="str">
        <x:f>IF(J486="","",J486-TODAY())</x:f>
      </x:c>
      <x:c r="U486" s="82" t="str">
        <x:f>IF(J486="","",IF(T486&lt;0,"EOL dépassée",IF(T486&lt;=180,"&lt; 6 mois",IF(T486&lt;=365,"&lt; 12 mois","OK"))))</x:f>
      </x:c>
    </x:row>
    <x:row r="487">
      <x:c r="A487" s="82"/>
      <x:c r="B487" s="82"/>
      <x:c r="C487" s="82"/>
      <x:c r="D487" s="82"/>
      <x:c r="E487" s="82"/>
      <x:c r="F487" s="82"/>
      <x:c r="G487" s="82"/>
      <x:c r="H487" s="82"/>
      <x:c r="I487" s="82"/>
      <x:c r="J487" s="110"/>
      <x:c r="K487" s="82"/>
      <x:c r="L487" s="82"/>
      <x:c r="M487" s="82"/>
      <x:c r="N487" s="82"/>
      <x:c r="O487" s="110"/>
      <x:c r="P487" s="82"/>
      <x:c r="Q487" s="82"/>
      <x:c r="R487" s="82"/>
      <x:c r="S487" s="82"/>
      <x:c r="T487" s="144" t="str">
        <x:f>IF(J487="","",J487-TODAY())</x:f>
      </x:c>
      <x:c r="U487" s="82" t="str">
        <x:f>IF(J487="","",IF(T487&lt;0,"EOL dépassée",IF(T487&lt;=180,"&lt; 6 mois",IF(T487&lt;=365,"&lt; 12 mois","OK"))))</x:f>
      </x:c>
    </x:row>
    <x:row r="488">
      <x:c r="A488" s="82"/>
      <x:c r="B488" s="82"/>
      <x:c r="C488" s="82"/>
      <x:c r="D488" s="82"/>
      <x:c r="E488" s="82"/>
      <x:c r="F488" s="82"/>
      <x:c r="G488" s="82"/>
      <x:c r="H488" s="82"/>
      <x:c r="I488" s="82"/>
      <x:c r="J488" s="110"/>
      <x:c r="K488" s="82"/>
      <x:c r="L488" s="82"/>
      <x:c r="M488" s="82"/>
      <x:c r="N488" s="82"/>
      <x:c r="O488" s="110"/>
      <x:c r="P488" s="82"/>
      <x:c r="Q488" s="82"/>
      <x:c r="R488" s="82"/>
      <x:c r="S488" s="82"/>
      <x:c r="T488" s="144" t="str">
        <x:f>IF(J488="","",J488-TODAY())</x:f>
      </x:c>
      <x:c r="U488" s="82" t="str">
        <x:f>IF(J488="","",IF(T488&lt;0,"EOL dépassée",IF(T488&lt;=180,"&lt; 6 mois",IF(T488&lt;=365,"&lt; 12 mois","OK"))))</x:f>
      </x:c>
    </x:row>
    <x:row r="489">
      <x:c r="A489" s="82"/>
      <x:c r="B489" s="82"/>
      <x:c r="C489" s="82"/>
      <x:c r="D489" s="82"/>
      <x:c r="E489" s="82"/>
      <x:c r="F489" s="82"/>
      <x:c r="G489" s="82"/>
      <x:c r="H489" s="82"/>
      <x:c r="I489" s="82"/>
      <x:c r="J489" s="110"/>
      <x:c r="K489" s="82"/>
      <x:c r="L489" s="82"/>
      <x:c r="M489" s="82"/>
      <x:c r="N489" s="82"/>
      <x:c r="O489" s="110"/>
      <x:c r="P489" s="82"/>
      <x:c r="Q489" s="82"/>
      <x:c r="R489" s="82"/>
      <x:c r="S489" s="82"/>
      <x:c r="T489" s="144" t="str">
        <x:f>IF(J489="","",J489-TODAY())</x:f>
      </x:c>
      <x:c r="U489" s="82" t="str">
        <x:f>IF(J489="","",IF(T489&lt;0,"EOL dépassée",IF(T489&lt;=180,"&lt; 6 mois",IF(T489&lt;=365,"&lt; 12 mois","OK"))))</x:f>
      </x:c>
    </x:row>
    <x:row r="490">
      <x:c r="A490" s="82"/>
      <x:c r="B490" s="82"/>
      <x:c r="C490" s="82"/>
      <x:c r="D490" s="82"/>
      <x:c r="E490" s="82"/>
      <x:c r="F490" s="82"/>
      <x:c r="G490" s="82"/>
      <x:c r="H490" s="82"/>
      <x:c r="I490" s="82"/>
      <x:c r="J490" s="110"/>
      <x:c r="K490" s="82"/>
      <x:c r="L490" s="82"/>
      <x:c r="M490" s="82"/>
      <x:c r="N490" s="82"/>
      <x:c r="O490" s="110"/>
      <x:c r="P490" s="82"/>
      <x:c r="Q490" s="82"/>
      <x:c r="R490" s="82"/>
      <x:c r="S490" s="82"/>
      <x:c r="T490" s="144" t="str">
        <x:f>IF(J490="","",J490-TODAY())</x:f>
      </x:c>
      <x:c r="U490" s="82" t="str">
        <x:f>IF(J490="","",IF(T490&lt;0,"EOL dépassée",IF(T490&lt;=180,"&lt; 6 mois",IF(T490&lt;=365,"&lt; 12 mois","OK"))))</x:f>
      </x:c>
    </x:row>
    <x:row r="491">
      <x:c r="A491" s="82"/>
      <x:c r="B491" s="82"/>
      <x:c r="C491" s="82"/>
      <x:c r="D491" s="82"/>
      <x:c r="E491" s="82"/>
      <x:c r="F491" s="82"/>
      <x:c r="G491" s="82"/>
      <x:c r="H491" s="82"/>
      <x:c r="I491" s="82"/>
      <x:c r="J491" s="110"/>
      <x:c r="K491" s="82"/>
      <x:c r="L491" s="82"/>
      <x:c r="M491" s="82"/>
      <x:c r="N491" s="82"/>
      <x:c r="O491" s="110"/>
      <x:c r="P491" s="82"/>
      <x:c r="Q491" s="82"/>
      <x:c r="R491" s="82"/>
      <x:c r="S491" s="82"/>
      <x:c r="T491" s="144" t="str">
        <x:f>IF(J491="","",J491-TODAY())</x:f>
      </x:c>
      <x:c r="U491" s="82" t="str">
        <x:f>IF(J491="","",IF(T491&lt;0,"EOL dépassée",IF(T491&lt;=180,"&lt; 6 mois",IF(T491&lt;=365,"&lt; 12 mois","OK"))))</x:f>
      </x:c>
    </x:row>
    <x:row r="492">
      <x:c r="A492" s="82"/>
      <x:c r="B492" s="82"/>
      <x:c r="C492" s="82"/>
      <x:c r="D492" s="82"/>
      <x:c r="E492" s="82"/>
      <x:c r="F492" s="82"/>
      <x:c r="G492" s="82"/>
      <x:c r="H492" s="82"/>
      <x:c r="I492" s="82"/>
      <x:c r="J492" s="110"/>
      <x:c r="K492" s="82"/>
      <x:c r="L492" s="82"/>
      <x:c r="M492" s="82"/>
      <x:c r="N492" s="82"/>
      <x:c r="O492" s="110"/>
      <x:c r="P492" s="82"/>
      <x:c r="Q492" s="82"/>
      <x:c r="R492" s="82"/>
      <x:c r="S492" s="82"/>
      <x:c r="T492" s="144" t="str">
        <x:f>IF(J492="","",J492-TODAY())</x:f>
      </x:c>
      <x:c r="U492" s="82" t="str">
        <x:f>IF(J492="","",IF(T492&lt;0,"EOL dépassée",IF(T492&lt;=180,"&lt; 6 mois",IF(T492&lt;=365,"&lt; 12 mois","OK"))))</x:f>
      </x:c>
    </x:row>
    <x:row r="493">
      <x:c r="A493" s="82"/>
      <x:c r="B493" s="82"/>
      <x:c r="C493" s="82"/>
      <x:c r="D493" s="82"/>
      <x:c r="E493" s="82"/>
      <x:c r="F493" s="82"/>
      <x:c r="G493" s="82"/>
      <x:c r="H493" s="82"/>
      <x:c r="I493" s="82"/>
      <x:c r="J493" s="110"/>
      <x:c r="K493" s="82"/>
      <x:c r="L493" s="82"/>
      <x:c r="M493" s="82"/>
      <x:c r="N493" s="82"/>
      <x:c r="O493" s="110"/>
      <x:c r="P493" s="82"/>
      <x:c r="Q493" s="82"/>
      <x:c r="R493" s="82"/>
      <x:c r="S493" s="82"/>
      <x:c r="T493" s="144" t="str">
        <x:f>IF(J493="","",J493-TODAY())</x:f>
      </x:c>
      <x:c r="U493" s="82" t="str">
        <x:f>IF(J493="","",IF(T493&lt;0,"EOL dépassée",IF(T493&lt;=180,"&lt; 6 mois",IF(T493&lt;=365,"&lt; 12 mois","OK"))))</x:f>
      </x:c>
    </x:row>
    <x:row r="494">
      <x:c r="A494" s="82"/>
      <x:c r="B494" s="82"/>
      <x:c r="C494" s="82"/>
      <x:c r="D494" s="82"/>
      <x:c r="E494" s="82"/>
      <x:c r="F494" s="82"/>
      <x:c r="G494" s="82"/>
      <x:c r="H494" s="82"/>
      <x:c r="I494" s="82"/>
      <x:c r="J494" s="110"/>
      <x:c r="K494" s="82"/>
      <x:c r="L494" s="82"/>
      <x:c r="M494" s="82"/>
      <x:c r="N494" s="82"/>
      <x:c r="O494" s="110"/>
      <x:c r="P494" s="82"/>
      <x:c r="Q494" s="82"/>
      <x:c r="R494" s="82"/>
      <x:c r="S494" s="82"/>
      <x:c r="T494" s="144" t="str">
        <x:f>IF(J494="","",J494-TODAY())</x:f>
      </x:c>
      <x:c r="U494" s="82" t="str">
        <x:f>IF(J494="","",IF(T494&lt;0,"EOL dépassée",IF(T494&lt;=180,"&lt; 6 mois",IF(T494&lt;=365,"&lt; 12 mois","OK"))))</x:f>
      </x:c>
    </x:row>
    <x:row r="495">
      <x:c r="A495" s="82"/>
      <x:c r="B495" s="82"/>
      <x:c r="C495" s="82"/>
      <x:c r="D495" s="82"/>
      <x:c r="E495" s="82"/>
      <x:c r="F495" s="82"/>
      <x:c r="G495" s="82"/>
      <x:c r="H495" s="82"/>
      <x:c r="I495" s="82"/>
      <x:c r="J495" s="110"/>
      <x:c r="K495" s="82"/>
      <x:c r="L495" s="82"/>
      <x:c r="M495" s="82"/>
      <x:c r="N495" s="82"/>
      <x:c r="O495" s="110"/>
      <x:c r="P495" s="82"/>
      <x:c r="Q495" s="82"/>
      <x:c r="R495" s="82"/>
      <x:c r="S495" s="82"/>
      <x:c r="T495" s="144" t="str">
        <x:f>IF(J495="","",J495-TODAY())</x:f>
      </x:c>
      <x:c r="U495" s="82" t="str">
        <x:f>IF(J495="","",IF(T495&lt;0,"EOL dépassée",IF(T495&lt;=180,"&lt; 6 mois",IF(T495&lt;=365,"&lt; 12 mois","OK"))))</x:f>
      </x:c>
    </x:row>
    <x:row r="496">
      <x:c r="A496" s="82"/>
      <x:c r="B496" s="82"/>
      <x:c r="C496" s="82"/>
      <x:c r="D496" s="82"/>
      <x:c r="E496" s="82"/>
      <x:c r="F496" s="82"/>
      <x:c r="G496" s="82"/>
      <x:c r="H496" s="82"/>
      <x:c r="I496" s="82"/>
      <x:c r="J496" s="110"/>
      <x:c r="K496" s="82"/>
      <x:c r="L496" s="82"/>
      <x:c r="M496" s="82"/>
      <x:c r="N496" s="82"/>
      <x:c r="O496" s="110"/>
      <x:c r="P496" s="82"/>
      <x:c r="Q496" s="82"/>
      <x:c r="R496" s="82"/>
      <x:c r="S496" s="82"/>
      <x:c r="T496" s="144" t="str">
        <x:f>IF(J496="","",J496-TODAY())</x:f>
      </x:c>
      <x:c r="U496" s="82" t="str">
        <x:f>IF(J496="","",IF(T496&lt;0,"EOL dépassée",IF(T496&lt;=180,"&lt; 6 mois",IF(T496&lt;=365,"&lt; 12 mois","OK"))))</x:f>
      </x:c>
    </x:row>
    <x:row r="497">
      <x:c r="A497" s="82"/>
      <x:c r="B497" s="82"/>
      <x:c r="C497" s="82"/>
      <x:c r="D497" s="82"/>
      <x:c r="E497" s="82"/>
      <x:c r="F497" s="82"/>
      <x:c r="G497" s="82"/>
      <x:c r="H497" s="82"/>
      <x:c r="I497" s="82"/>
      <x:c r="J497" s="110"/>
      <x:c r="K497" s="82"/>
      <x:c r="L497" s="82"/>
      <x:c r="M497" s="82"/>
      <x:c r="N497" s="82"/>
      <x:c r="O497" s="110"/>
      <x:c r="P497" s="82"/>
      <x:c r="Q497" s="82"/>
      <x:c r="R497" s="82"/>
      <x:c r="S497" s="82"/>
      <x:c r="T497" s="144" t="str">
        <x:f>IF(J497="","",J497-TODAY())</x:f>
      </x:c>
      <x:c r="U497" s="82" t="str">
        <x:f>IF(J497="","",IF(T497&lt;0,"EOL dépassée",IF(T497&lt;=180,"&lt; 6 mois",IF(T497&lt;=365,"&lt; 12 mois","OK"))))</x:f>
      </x:c>
    </x:row>
    <x:row r="498">
      <x:c r="A498" s="82"/>
      <x:c r="B498" s="82"/>
      <x:c r="C498" s="82"/>
      <x:c r="D498" s="82"/>
      <x:c r="E498" s="82"/>
      <x:c r="F498" s="82"/>
      <x:c r="G498" s="82"/>
      <x:c r="H498" s="82"/>
      <x:c r="I498" s="82"/>
      <x:c r="J498" s="110"/>
      <x:c r="K498" s="82"/>
      <x:c r="L498" s="82"/>
      <x:c r="M498" s="82"/>
      <x:c r="N498" s="82"/>
      <x:c r="O498" s="110"/>
      <x:c r="P498" s="82"/>
      <x:c r="Q498" s="82"/>
      <x:c r="R498" s="82"/>
      <x:c r="S498" s="82"/>
      <x:c r="T498" s="144" t="str">
        <x:f>IF(J498="","",J498-TODAY())</x:f>
      </x:c>
      <x:c r="U498" s="82" t="str">
        <x:f>IF(J498="","",IF(T498&lt;0,"EOL dépassée",IF(T498&lt;=180,"&lt; 6 mois",IF(T498&lt;=365,"&lt; 12 mois","OK"))))</x:f>
      </x:c>
    </x:row>
    <x:row r="499">
      <x:c r="A499" s="82"/>
      <x:c r="B499" s="82"/>
      <x:c r="C499" s="82"/>
      <x:c r="D499" s="82"/>
      <x:c r="E499" s="82"/>
      <x:c r="F499" s="82"/>
      <x:c r="G499" s="82"/>
      <x:c r="H499" s="82"/>
      <x:c r="I499" s="82"/>
      <x:c r="J499" s="110"/>
      <x:c r="K499" s="82"/>
      <x:c r="L499" s="82"/>
      <x:c r="M499" s="82"/>
      <x:c r="N499" s="82"/>
      <x:c r="O499" s="110"/>
      <x:c r="P499" s="82"/>
      <x:c r="Q499" s="82"/>
      <x:c r="R499" s="82"/>
      <x:c r="S499" s="82"/>
      <x:c r="T499" s="144" t="str">
        <x:f>IF(J499="","",J499-TODAY())</x:f>
      </x:c>
      <x:c r="U499" s="82" t="str">
        <x:f>IF(J499="","",IF(T499&lt;0,"EOL dépassée",IF(T499&lt;=180,"&lt; 6 mois",IF(T499&lt;=365,"&lt; 12 mois","OK"))))</x:f>
      </x:c>
    </x:row>
    <x:row r="500">
      <x:c r="A500" s="82"/>
      <x:c r="B500" s="82"/>
      <x:c r="C500" s="82"/>
      <x:c r="D500" s="82"/>
      <x:c r="E500" s="82"/>
      <x:c r="F500" s="82"/>
      <x:c r="G500" s="82"/>
      <x:c r="H500" s="82"/>
      <x:c r="I500" s="82"/>
      <x:c r="J500" s="110"/>
      <x:c r="K500" s="82"/>
      <x:c r="L500" s="82"/>
      <x:c r="M500" s="82"/>
      <x:c r="N500" s="82"/>
      <x:c r="O500" s="110"/>
      <x:c r="P500" s="82"/>
      <x:c r="Q500" s="82"/>
      <x:c r="R500" s="82"/>
      <x:c r="S500" s="82"/>
      <x:c r="T500" s="144" t="str">
        <x:f>IF(J500="","",J500-TODAY())</x:f>
      </x:c>
      <x:c r="U500" s="82" t="str">
        <x:f>IF(J500="","",IF(T500&lt;0,"EOL dépassée",IF(T500&lt;=180,"&lt; 6 mois",IF(T500&lt;=365,"&lt; 12 mois","OK"))))</x:f>
      </x:c>
    </x:row>
    <x:row r="501">
      <x:c r="A501" s="82"/>
      <x:c r="B501" s="82"/>
      <x:c r="C501" s="82"/>
      <x:c r="D501" s="82"/>
      <x:c r="E501" s="82"/>
      <x:c r="F501" s="82"/>
      <x:c r="G501" s="82"/>
      <x:c r="H501" s="82"/>
      <x:c r="I501" s="82"/>
      <x:c r="J501" s="110"/>
      <x:c r="K501" s="82"/>
      <x:c r="L501" s="82"/>
      <x:c r="M501" s="82"/>
      <x:c r="N501" s="82"/>
      <x:c r="O501" s="110"/>
      <x:c r="P501" s="82"/>
      <x:c r="Q501" s="82"/>
      <x:c r="R501" s="82"/>
      <x:c r="S501" s="82"/>
      <x:c r="T501" s="144" t="str">
        <x:f>IF(J501="","",J501-TODAY())</x:f>
      </x:c>
      <x:c r="U501" s="82" t="str">
        <x:f>IF(J501="","",IF(T501&lt;0,"EOL dépassée",IF(T501&lt;=180,"&lt; 6 mois",IF(T501&lt;=365,"&lt; 12 mois","OK"))))</x:f>
      </x:c>
    </x:row>
  </x:sheetData>
  <x:conditionalFormatting sqref="U2:U501">
    <x:cfRule type="expression" dxfId="8" priority="1">
      <x:formula>U2="EOL dépassée"</x:formula>
    </x:cfRule>
    <x:cfRule type="expression" dxfId="9" priority="2">
      <x:formula>U2="&lt; 6 mois"</x:formula>
    </x:cfRule>
    <x:cfRule type="expression" dxfId="10" priority="3">
      <x:formula>U2="&lt; 12 mois"</x:formula>
    </x:cfRule>
    <x:cfRule type="expression" dxfId="11" priority="4">
      <x:formula>U2="OK"</x:formula>
    </x:cfRule>
  </x:conditionalFormatting>
  <x:conditionalFormatting sqref="M2:M501">
    <x:cfRule type="expression" dxfId="12" priority="5">
      <x:formula>M2="Critique"</x:formula>
    </x:cfRule>
    <x:cfRule type="expression" dxfId="13" priority="6">
      <x:formula>M2="Élevé"</x:formula>
    </x:cfRule>
    <x:cfRule type="expression" dxfId="14" priority="7">
      <x:formula>M2="Moyen"</x:formula>
    </x:cfRule>
    <x:cfRule type="expression" dxfId="15" priority="8">
      <x:formula>M2="Faible"</x:formula>
    </x:cfRule>
  </x:conditionalFormatting>
  <x:dataValidations count="6">
    <x:dataValidation type="list" sqref="F2:F501">
      <x:formula1>'03_Referentiels'!$O$2:$O$13</x:formula1>
    </x:dataValidation>
    <x:dataValidation type="list" sqref="I2:I501">
      <x:formula1>'03_Referentiels'!$M$2:$M$6</x:formula1>
    </x:dataValidation>
    <x:dataValidation type="list" sqref="L2:L501">
      <x:formula1>'03_Referentiels'!$R$2:$R$4</x:formula1>
    </x:dataValidation>
    <x:dataValidation type="list" sqref="M2:M501">
      <x:formula1>'03_Referentiels'!$N$2:$N$5</x:formula1>
    </x:dataValidation>
    <x:dataValidation type="list" sqref="N2:N501">
      <x:formula1>'03_Referentiels'!$P$2:$P$6</x:formula1>
    </x:dataValidation>
    <x:dataValidation type="list" sqref="Q2:Q501">
      <x:formula1>'03_Referentiels'!$Q$2:$Q$6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>
      <x:c r="A1" s="6" t="str">
        <x:v>Implémentation</x:v>
      </x:c>
      <x:c r="B1" s="6" t="str">
        <x:v>Oui / Partiel / Non</x:v>
      </x:c>
      <x:c r="C1" s="6" t="str">
        <x:v>Oui / Partiel / Non / N/A</x:v>
      </x:c>
      <x:c r="D1" s="6" t="str">
        <x:v>CI automatisé</x:v>
      </x:c>
      <x:c r="E1" s="6" t="str">
        <x:v>CD automatisé</x:v>
      </x:c>
      <x:c r="F1" s="6" t="str">
        <x:v>Criticité</x:v>
      </x:c>
      <x:c r="G1" s="6" t="str">
        <x:v>Hébergement</x:v>
      </x:c>
      <x:c r="H1" s="6" t="str">
        <x:v>Exposition</x:v>
      </x:c>
      <x:c r="I1" s="6" t="str">
        <x:v>Outil SAST</x:v>
      </x:c>
      <x:c r="J1" s="6" t="str">
        <x:v>Outil SCA</x:v>
      </x:c>
      <x:c r="K1" s="6" t="str">
        <x:v>Outil DAST / exposition</x:v>
      </x:c>
      <x:c r="L1" s="6" t="str">
        <x:v>Solution externalisation</x:v>
      </x:c>
      <x:c r="M1" s="6" t="str">
        <x:v>Statut support</x:v>
      </x:c>
      <x:c r="N1" s="6" t="str">
        <x:v>Risque</x:v>
      </x:c>
      <x:c r="O1" s="6" t="str">
        <x:v>Type composant</x:v>
      </x:c>
      <x:c r="P1" s="6" t="str">
        <x:v>Action obsolescence</x:v>
      </x:c>
      <x:c r="Q1" s="6" t="str">
        <x:v>Statut plan</x:v>
      </x:c>
      <x:c r="R1" s="6" t="str">
        <x:v>Oui / Non / Inconnu</x:v>
      </x:c>
    </x:row>
    <x:row r="2">
      <x:c r="A2" t="str">
        <x:v>☑ Implémenté</x:v>
      </x:c>
      <x:c r="B2" t="str">
        <x:v>☑ Oui</x:v>
      </x:c>
      <x:c r="C2" t="str">
        <x:v>☑ Oui</x:v>
      </x:c>
      <x:c r="D2" t="str">
        <x:v>DevOpsFundation</x:v>
      </x:c>
      <x:c r="E2" t="str">
        <x:v>☑ Oui</x:v>
      </x:c>
      <x:c r="F2" t="str">
        <x:v>Critique</x:v>
      </x:c>
      <x:c r="G2" t="str">
        <x:v>On-premise</x:v>
      </x:c>
      <x:c r="H2" t="str">
        <x:v>Internet</x:v>
      </x:c>
      <x:c r="I2" t="str">
        <x:v>Fortify</x:v>
      </x:c>
      <x:c r="J2" t="str">
        <x:v>NexusIQ</x:v>
      </x:c>
      <x:c r="K2" t="str">
        <x:v>Qualys</x:v>
      </x:c>
      <x:c r="L2" t="str">
        <x:v>HVault</x:v>
      </x:c>
      <x:c r="M2" t="str">
        <x:v>Supporté</x:v>
      </x:c>
      <x:c r="N2" t="str">
        <x:v>Faible</x:v>
      </x:c>
      <x:c r="O2" t="str">
        <x:v>Front-end / SPA</x:v>
      </x:c>
      <x:c r="P2" t="str">
        <x:v>Maintenir</x:v>
      </x:c>
      <x:c r="Q2" t="str">
        <x:v>À analyser</x:v>
      </x:c>
      <x:c r="R2" t="str">
        <x:v>Oui</x:v>
      </x:c>
    </x:row>
    <x:row r="3">
      <x:c r="A3" t="str">
        <x:v>◐ Partiel</x:v>
      </x:c>
      <x:c r="B3" t="str">
        <x:v>◐ Partiel</x:v>
      </x:c>
      <x:c r="C3" t="str">
        <x:v>◐ Partiel</x:v>
      </x:c>
      <x:c r="D3" t="str">
        <x:v>☑ Oui</x:v>
      </x:c>
      <x:c r="E3" t="str">
        <x:v>◐ Partiel</x:v>
      </x:c>
      <x:c r="F3" t="str">
        <x:v>Haute</x:v>
      </x:c>
      <x:c r="G3" t="str">
        <x:v>Cloud privé</x:v>
      </x:c>
      <x:c r="H3" t="str">
        <x:v>Intranet</x:v>
      </x:c>
      <x:c r="I3" t="str">
        <x:v>SonarQube</x:v>
      </x:c>
      <x:c r="J3" t="str">
        <x:v>Autre</x:v>
      </x:c>
      <x:c r="K3" t="str">
        <x:v>BitSight</x:v>
      </x:c>
      <x:c r="L3" t="str">
        <x:v>ConfigMap</x:v>
      </x:c>
      <x:c r="M3" t="str">
        <x:v>Support étendu</x:v>
      </x:c>
      <x:c r="N3" t="str">
        <x:v>Moyen</x:v>
      </x:c>
      <x:c r="O3" t="str">
        <x:v>Backend</x:v>
      </x:c>
      <x:c r="P3" t="str">
        <x:v>Mettre à niveau</x:v>
      </x:c>
      <x:c r="Q3" t="str">
        <x:v>Planifié</x:v>
      </x:c>
      <x:c r="R3" t="str">
        <x:v>Non</x:v>
      </x:c>
    </x:row>
    <x:row r="4">
      <x:c r="A4" t="str">
        <x:v>☐ Non implémenté</x:v>
      </x:c>
      <x:c r="B4" t="str">
        <x:v>☐ Non</x:v>
      </x:c>
      <x:c r="C4" t="str">
        <x:v>☐ Non</x:v>
      </x:c>
      <x:c r="D4" t="str">
        <x:v>◐ Partiel</x:v>
      </x:c>
      <x:c r="E4" t="str">
        <x:v>☐ Non</x:v>
      </x:c>
      <x:c r="F4" t="str">
        <x:v>Moyenne</x:v>
      </x:c>
      <x:c r="G4" t="str">
        <x:v>Cloud public</x:v>
      </x:c>
      <x:c r="H4" t="str">
        <x:v>Extranet</x:v>
      </x:c>
      <x:c r="I4" t="str">
        <x:v>Autre</x:v>
      </x:c>
      <x:c r="J4" t="str">
        <x:v>Aucun</x:v>
      </x:c>
      <x:c r="K4" t="str">
        <x:v>Qualys + BitSight</x:v>
      </x:c>
      <x:c r="L4" t="str">
        <x:v>variables d’environnement</x:v>
      </x:c>
      <x:c r="M4" t="str">
        <x:v>Fin de support proche</x:v>
      </x:c>
      <x:c r="N4" t="str">
        <x:v>Élevé</x:v>
      </x:c>
      <x:c r="O4" t="str">
        <x:v>Runtime</x:v>
      </x:c>
      <x:c r="P4" t="str">
        <x:v>Remplacer</x:v>
      </x:c>
      <x:c r="Q4" t="str">
        <x:v>En cours</x:v>
      </x:c>
      <x:c r="R4" t="str">
        <x:v>Inconnu</x:v>
      </x:c>
    </x:row>
    <x:row r="5">
      <x:c r="A5" t="str">
        <x:v>— N/A</x:v>
      </x:c>
      <x:c r="B5" t="str">
        <x:v>— N/A</x:v>
      </x:c>
      <x:c r="C5" t="str">
        <x:v>— N/A</x:v>
      </x:c>
      <x:c r="D5" t="str">
        <x:v>☐ Non</x:v>
      </x:c>
      <x:c r="E5" t="str">
        <x:v>— N/A</x:v>
      </x:c>
      <x:c r="F5" t="str">
        <x:v>Faible</x:v>
      </x:c>
      <x:c r="G5" t="str">
        <x:v>SaaS</x:v>
      </x:c>
      <x:c r="H5" t="str">
        <x:v>Non exposée</x:v>
      </x:c>
      <x:c r="I5" t="str">
        <x:v>Aucun</x:v>
      </x:c>
      <x:c r="K5" t="str">
        <x:v>Autre</x:v>
      </x:c>
      <x:c r="L5" t="str">
        <x:v>fichier de configuration</x:v>
      </x:c>
      <x:c r="M5" t="str">
        <x:v>EOL</x:v>
      </x:c>
      <x:c r="N5" t="str">
        <x:v>Critique</x:v>
      </x:c>
      <x:c r="O5" t="str">
        <x:v>Framework</x:v>
      </x:c>
      <x:c r="P5" t="str">
        <x:v>Retirer</x:v>
      </x:c>
      <x:c r="Q5" t="str">
        <x:v>Bloqué</x:v>
      </x:c>
    </x:row>
    <x:row r="6">
      <x:c r="A6" t="str">
        <x:v>? À évaluer</x:v>
      </x:c>
      <x:c r="B6" t="str">
        <x:v>? À évaluer</x:v>
      </x:c>
      <x:c r="D6" t="str">
        <x:v>— N/A</x:v>
      </x:c>
      <x:c r="G6" t="str">
        <x:v>Hybride</x:v>
      </x:c>
      <x:c r="K6" t="str">
        <x:v>Aucun</x:v>
      </x:c>
      <x:c r="L6" t="str">
        <x:v>Autre</x:v>
      </x:c>
      <x:c r="M6" t="str">
        <x:v>Inconnu</x:v>
      </x:c>
      <x:c r="O6" t="str">
        <x:v>Bibliothèque</x:v>
      </x:c>
      <x:c r="P6" t="str">
        <x:v>Accepter le risque</x:v>
      </x:c>
      <x:c r="Q6" t="str">
        <x:v>Terminé</x:v>
      </x:c>
    </x:row>
    <x:row r="7">
      <x:c r="O7" t="str">
        <x:v>Base de données</x:v>
      </x:c>
    </x:row>
    <x:row r="8">
      <x:c r="O8" t="str">
        <x:v>OS</x:v>
      </x:c>
    </x:row>
    <x:row r="9">
      <x:c r="O9" t="str">
        <x:v>Middleware / ESB</x:v>
      </x:c>
    </x:row>
    <x:row r="10">
      <x:c r="O10" t="str">
        <x:v>Conteneur / plateforme</x:v>
      </x:c>
    </x:row>
    <x:row r="11">
      <x:c r="O11" t="str">
        <x:v>Shell / Script</x:v>
      </x:c>
    </x:row>
    <x:row r="12">
      <x:c r="O12" t="str">
        <x:v>SaaS / Progiciel</x:v>
      </x:c>
    </x:row>
    <x:row r="13">
      <x:c r="O13" t="str">
        <x:v>Autre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4" max="4" width="28" hidden="0" customWidth="1"/>
    <x:col min="5" max="5" width="16" hidden="0" customWidth="1"/>
    <x:col min="7" max="7" width="24" hidden="0" customWidth="1"/>
    <x:col min="8" max="8" width="18" hidden="0" customWidth="1"/>
  </x:cols>
  <x:sheetData>
    <x:row r="1">
      <x:c r="A1" s="88" t="str">
        <x:v>Synthèse de maturité des pratiques — V7</x:v>
      </x:c>
      <x:c r="B1" s="88"/>
      <x:c r="C1" s="88"/>
      <x:c r="D1" s="88"/>
      <x:c r="E1" s="88"/>
      <x:c r="F1" s="88"/>
      <x:c r="G1" s="88"/>
      <x:c r="H1" s="88"/>
    </x:row>
    <x:row r="3">
      <x:c r="A3" s="75" t="str">
        <x:v>Indicateur</x:v>
      </x:c>
      <x:c r="B3" s="75" t="str">
        <x:v>Valeur</x:v>
      </x:c>
      <x:c r="C3" s="82"/>
      <x:c r="D3" s="75" t="str">
        <x:v>Domaine</x:v>
      </x:c>
      <x:c r="E3" s="75" t="str">
        <x:v>Maturité</x:v>
      </x:c>
      <x:c r="F3" s="82"/>
      <x:c r="G3" s="122" t="str">
        <x:v>Risque obsolescence</x:v>
      </x:c>
      <x:c r="H3" s="122" t="str">
        <x:v>Nb composants</x:v>
      </x:c>
    </x:row>
    <x:row r="4">
      <x:c r="A4" s="82" t="str">
        <x:v>Applications renseignées</x:v>
      </x:c>
      <x:c r="B4" s="82" t="n">
        <x:f>COUNTIF('01_Restitution'!B3:B202,"&lt;&gt;")</x:f>
        <x:v>1</x:v>
      </x:c>
      <x:c r="C4" s="82"/>
      <x:c r="D4" s="82" t="str">
        <x:v>Dynatrace</x:v>
      </x:c>
      <x:c r="E4" s="84" t="n">
        <x:f>IFERROR((COUNTIF('01_Restitution'!H3:Q202,"☑ Implémenté")+COUNTIF('01_Restitution'!H3:Q202,"☑ Oui")+0.5*COUNTIF('01_Restitution'!H3:Q202,"◐ Partiel"))/(COUNTIF('01_Restitution'!H3:Q202,"☑ Implémenté")+COUNTIF('01_Restitution'!H3:Q202,"☑ Oui")+COUNTIF('01_Restitution'!H3:Q202,"◐ Partiel")+COUNTIF('01_Restitution'!H3:Q202,"☐ Non implémenté")+COUNTIF('01_Restitution'!H3:Q202,"☐ Non")),"")</x:f>
        <x:v>0.8333333333333334</x:v>
      </x:c>
      <x:c r="F4" s="82"/>
      <x:c r="G4" s="82" t="str">
        <x:v>Faible</x:v>
      </x:c>
      <x:c r="H4" s="82" t="n">
        <x:f>COUNTIF('02_Composants_Obso'!M2:M501,"Faible")</x:f>
        <x:v>2</x:v>
      </x:c>
    </x:row>
    <x:row r="5">
      <x:c r="A5" s="82" t="str">
        <x:v>Maturité globale moyenne</x:v>
      </x:c>
      <x:c r="B5" s="84" t="n">
        <x:f>IFERROR(AVERAGE('01_Restitution'!BE3:BE202),"")</x:f>
        <x:v>0.8205128205128205</x:v>
      </x:c>
      <x:c r="C5" s="82"/>
      <x:c r="D5" s="82" t="str">
        <x:v>LaaS / Logs</x:v>
      </x:c>
      <x:c r="E5" s="84" t="n">
        <x:f>IFERROR((COUNTIF('01_Restitution'!R3:V202,"☑ Implémenté")+COUNTIF('01_Restitution'!R3:V202,"☑ Oui")+0.5*COUNTIF('01_Restitution'!R3:V202,"◐ Partiel"))/(COUNTIF('01_Restitution'!R3:V202,"☑ Implémenté")+COUNTIF('01_Restitution'!R3:V202,"☑ Oui")+COUNTIF('01_Restitution'!R3:V202,"◐ Partiel")+COUNTIF('01_Restitution'!R3:V202,"☐ Non implémenté")+COUNTIF('01_Restitution'!R3:V202,"☐ Non")),"")</x:f>
        <x:v>0.875</x:v>
      </x:c>
      <x:c r="F5" s="82"/>
      <x:c r="G5" s="82" t="str">
        <x:v>Moyen</x:v>
      </x:c>
      <x:c r="H5" s="82" t="n">
        <x:f>COUNTIF('02_Composants_Obso'!M2:M501,"Moyen")</x:f>
        <x:v>3</x:v>
      </x:c>
    </x:row>
    <x:row r="6">
      <x:c r="A6" s="82" t="str">
        <x:v>Couverture Dynatrace moyenne</x:v>
      </x:c>
      <x:c r="B6" s="84" t="n">
        <x:f>IFERROR(AVERAGE('01_Restitution'!Q3:Q202),"")</x:f>
        <x:v>0.8333333333333334</x:v>
      </x:c>
      <x:c r="C6" s="82"/>
      <x:c r="D6" s="82" t="str">
        <x:v>Reporting</x:v>
      </x:c>
      <x:c r="E6" s="84" t="n">
        <x:f>IFERROR((COUNTIF('01_Restitution'!W3:Y202,"☑ Implémenté")+COUNTIF('01_Restitution'!W3:Y202,"☑ Oui")+0.5*COUNTIF('01_Restitution'!W3:Y202,"◐ Partiel"))/(COUNTIF('01_Restitution'!W3:Y202,"☑ Implémenté")+COUNTIF('01_Restitution'!W3:Y202,"☑ Oui")+COUNTIF('01_Restitution'!W3:Y202,"◐ Partiel")+COUNTIF('01_Restitution'!W3:Y202,"☐ Non implémenté")+COUNTIF('01_Restitution'!W3:Y202,"☐ Non")),"")</x:f>
        <x:v>1</x:v>
      </x:c>
      <x:c r="F6" s="82"/>
      <x:c r="G6" s="82" t="str">
        <x:v>Élevé</x:v>
      </x:c>
      <x:c r="H6" s="82" t="n">
        <x:f>COUNTIF('02_Composants_Obso'!M2:M501,"Élevé")</x:f>
        <x:v>0</x:v>
      </x:c>
    </x:row>
    <x:row r="7">
      <x:c r="A7" s="82" t="str">
        <x:v>Couverture LaaS moyenne</x:v>
      </x:c>
      <x:c r="B7" s="84" t="n">
        <x:f>IFERROR(AVERAGE('01_Restitution'!V3:V202),"")</x:f>
        <x:v>0.875</x:v>
      </x:c>
      <x:c r="C7" s="82"/>
      <x:c r="D7" s="82" t="str">
        <x:v>Delivery &amp; DevOps</x:v>
      </x:c>
      <x:c r="E7" s="84" t="n">
        <x:f>IFERROR((COUNTIF('01_Restitution'!Z3:AE202,"☑ Implémenté")+COUNTIF('01_Restitution'!Z3:AE202,"☑ Oui")+COUNTIF('01_Restitution'!Z3:AE202,"DevOpsFundation")+0.5*COUNTIF('01_Restitution'!Z3:AE202,"◐ Partiel"))/(COUNTIF('01_Restitution'!Z3:AE202,"☑ Implémenté")+COUNTIF('01_Restitution'!Z3:AE202,"☑ Oui")+COUNTIF('01_Restitution'!Z3:AE202,"DevOpsFundation")+COUNTIF('01_Restitution'!Z3:AE202,"◐ Partiel")+COUNTIF('01_Restitution'!Z3:AE202,"☐ Non implémenté")+COUNTIF('01_Restitution'!Z3:AE202,"☐ Non")),"")</x:f>
        <x:v>0.7</x:v>
      </x:c>
      <x:c r="F7" s="82"/>
      <x:c r="G7" s="82" t="str">
        <x:v>Critique</x:v>
      </x:c>
      <x:c r="H7" s="82" t="n">
        <x:f>COUNTIF('02_Composants_Obso'!M2:M501,"Critique")</x:f>
        <x:v>0</x:v>
      </x:c>
    </x:row>
    <x:row r="8">
      <x:c r="A8" s="82" t="str">
        <x:v>Couverture Reporting moyenne</x:v>
      </x:c>
      <x:c r="B8" s="84" t="n">
        <x:f>IFERROR(AVERAGE('01_Restitution'!Y3:Y202),"")</x:f>
        <x:v>1</x:v>
      </x:c>
      <x:c r="C8" s="82"/>
      <x:c r="D8" s="82" t="str">
        <x:v>Qualité &amp; tests</x:v>
      </x:c>
      <x:c r="E8" s="84" t="n">
        <x:f>IFERROR((COUNTIF('01_Restitution'!AF3:AK202,"☑ Implémenté")+COUNTIF('01_Restitution'!AF3:AK202,"☑ Oui")+0.5*COUNTIF('01_Restitution'!AF3:AK202,"◐ Partiel"))/(COUNTIF('01_Restitution'!AF3:AK202,"☑ Implémenté")+COUNTIF('01_Restitution'!AF3:AK202,"☑ Oui")+COUNTIF('01_Restitution'!AF3:AK202,"◐ Partiel")+COUNTIF('01_Restitution'!AF3:AK202,"☐ Non implémenté")+COUNTIF('01_Restitution'!AF3:AK202,"☐ Non")),"")</x:f>
        <x:v>0.8</x:v>
      </x:c>
      <x:c r="F8" s="82"/>
      <x:c r="G8" s="82"/>
      <x:c r="H8" s="82"/>
    </x:row>
    <x:row r="9">
      <x:c r="A9" s="82" t="str">
        <x:v>Couverture Gestion incidents moyenne</x:v>
      </x:c>
      <x:c r="B9" s="84" t="n">
        <x:f>IFERROR(AVERAGE('01_Restitution'!BD3:BD202),"")</x:f>
        <x:v>0.75</x:v>
      </x:c>
      <x:c r="C9" s="82"/>
      <x:c r="D9" s="82" t="str">
        <x:v>Sécurité</x:v>
      </x:c>
      <x:c r="E9" s="84" t="n">
        <x:f>IFERROR((COUNTIF('01_Restitution'!AL3:AY202,"☑ Implémenté")+COUNTIF('01_Restitution'!AL3:AY202,"☑ Oui")+0.5*COUNTIF('01_Restitution'!AL3:AY202,"◐ Partiel"))/(COUNTIF('01_Restitution'!AL3:AY202,"☑ Implémenté")+COUNTIF('01_Restitution'!AL3:AY202,"☑ Oui")+COUNTIF('01_Restitution'!AL3:AY202,"◐ Partiel")+COUNTIF('01_Restitution'!AL3:AY202,"☐ Non implémenté")+COUNTIF('01_Restitution'!AL3:AY202,"☐ Non")),"")</x:f>
        <x:v>0.85</x:v>
      </x:c>
      <x:c r="F9" s="82"/>
      <x:c r="G9" s="82"/>
      <x:c r="H9" s="82"/>
    </x:row>
    <x:row r="10">
      <x:c r="A10" s="82" t="str">
        <x:v>Composants renseignés</x:v>
      </x:c>
      <x:c r="B10" s="82" t="n">
        <x:f>COUNTIF('02_Composants_Obso'!D2:D501,"&lt;&gt;")</x:f>
        <x:v>5</x:v>
      </x:c>
      <x:c r="C10" s="82"/>
      <x:c r="D10" s="82" t="str">
        <x:v>Gestion des incidents</x:v>
      </x:c>
      <x:c r="E10" s="84" t="n">
        <x:f>IFERROR((COUNTIF('01_Restitution'!AZ3:BD202,"☑ Implémenté")+COUNTIF('01_Restitution'!AZ3:BD202,"☑ Oui")+0.5*COUNTIF('01_Restitution'!AZ3:BD202,"◐ Partiel"))/(COUNTIF('01_Restitution'!AZ3:BD202,"☑ Implémenté")+COUNTIF('01_Restitution'!AZ3:BD202,"☑ Oui")+COUNTIF('01_Restitution'!AZ3:BD202,"◐ Partiel")+COUNTIF('01_Restitution'!AZ3:BD202,"☐ Non implémenté")+COUNTIF('01_Restitution'!AZ3:BD202,"☐ Non")),"")</x:f>
        <x:v>0.75</x:v>
      </x:c>
      <x:c r="F10" s="82"/>
      <x:c r="G10" s="82"/>
      <x:c r="H10" s="82"/>
    </x:row>
    <x:row r="11">
      <x:c r="A11" s="82" t="str">
        <x:v>Composants EOL ou &lt; 12 mois</x:v>
      </x:c>
      <x:c r="B11" s="82" t="n">
        <x:f>COUNTIFS('02_Composants_Obso'!J2:J501,"&lt;&gt;",'02_Composants_Obso'!T2:T501,"&lt;=365")</x:f>
        <x:v>0</x:v>
      </x:c>
      <x:c r="C11" s="82"/>
      <x:c r="D11" s="82"/>
      <x:c r="E11" s="82"/>
      <x:c r="F11" s="82"/>
      <x:c r="G11" s="82"/>
      <x:c r="H11" s="82"/>
    </x:row>
  </x:sheetData>
  <x:mergeCells>
    <x:mergeCell ref="A1:H1"/>
  </x:mergeCells>
  <x:conditionalFormatting sqref="B5:B9">
    <x:cfRule type="dataBar" priority="3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{8A7E0FA0-029E-D0AC-72CD-1FC8105FB543}</x14:id>
        </x:ext>
      </x:extLst>
    </x:cfRule>
  </x:conditionalFormatting>
  <x:conditionalFormatting sqref="E4:E10">
    <x:cfRule type="dataBar" priority="4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{20C319AF-13C8-ABE4-E16A-78F9AC386FEE}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8A7E0FA0-029E-D0AC-72CD-1FC8105FB543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B5:B9</xm:sqref>
        </x14:conditionalFormatting>
        <x14:conditionalFormatting>
          <x14:cfRule type="dataBar" priority="4" id="{20C319AF-13C8-ABE4-E16A-78F9AC386FEE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E4:E10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2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32" t="str">
        <x:v>Pilotage de l'obsolescence — vue Technologie / Version</x:v>
      </x:c>
      <x:c r="B1" s="132"/>
      <x:c r="C1" s="132"/>
      <x:c r="D1" s="132"/>
      <x:c r="E1" s="132"/>
      <x:c r="F1" s="132"/>
      <x:c r="G1" s="132"/>
      <x:c r="H1" s="132"/>
      <x:c r="I1" s="132"/>
    </x:row>
    <x:row r="3">
      <x:c r="A3" s="135" t="str">
        <x:v>Indicateur</x:v>
      </x:c>
      <x:c r="B3" s="135" t="str">
        <x:v>Valeur</x:v>
      </x:c>
      <x:c r="D3" s="125" t="str">
        <x:v>Technologie / produit</x:v>
      </x:c>
      <x:c r="E3" s="125" t="str">
        <x:v>Version</x:v>
      </x:c>
      <x:c r="F3" s="125" t="str">
        <x:v>Nb applications</x:v>
      </x:c>
      <x:c r="G3" s="125" t="str">
        <x:v>EOL dépassée</x:v>
      </x:c>
      <x:c r="H3" s="125" t="str">
        <x:v>EOL &lt; 12 mois</x:v>
      </x:c>
      <x:c r="I3" s="125" t="str">
        <x:v>Risque max</x:v>
      </x:c>
    </x:row>
    <x:row r="4">
      <x:c r="A4" t="str">
        <x:v>Composants renseignés</x:v>
      </x:c>
      <x:c r="B4" t="n">
        <x:f>COUNTIF('02_Composants_Obso'!D2:D501,"&lt;&gt;")</x:f>
        <x:v>5</x:v>
      </x:c>
      <x:c r="D4" t="str">
        <x:v>React</x:v>
      </x:c>
      <x:c r="E4" t="str">
        <x:v>18</x:v>
      </x:c>
      <x:c r="F4" t="n">
        <x:f>IF(OR(D4="",E4=""),"",COUNTIFS('02_Composants_Obso'!$D$2:$D$501,D4,'02_Composants_Obso'!$G$2:$G$501,E4,'02_Composants_Obso'!$B$2:$B$501,"&lt;&gt;"))</x:f>
        <x:v>1</x:v>
      </x:c>
      <x:c r="G4" t="n">
        <x:f>IF(D4="","",COUNTIFS('02_Composants_Obso'!$D$2:$D$501,D4,'02_Composants_Obso'!$G$2:$G$501,E4,'02_Composants_Obso'!$U$2:$U$501,"EOL dépassée"))</x:f>
        <x:v>0</x:v>
      </x:c>
      <x:c r="H4" t="n">
        <x:f>IF(D4="","",SUMPRODUCT(--('02_Composants_Obso'!$D$2:$D$501=D4),--('02_Composants_Obso'!$G$2:$G$501=E4),--('02_Composants_Obso'!$U$2:$U$501="&lt; 6 mois"))+SUMPRODUCT(--('02_Composants_Obso'!$D$2:$D$501=D4),--('02_Composants_Obso'!$G$2:$G$501=E4),--('02_Composants_Obso'!$U$2:$U$501="&lt; 12 mois")))</x:f>
        <x:v>0</x:v>
      </x:c>
      <x:c r="I4" t="str">
        <x:f>IF(D4="","",IF(COUNTIFS('02_Composants_Obso'!$D$2:$D$501,D4,'02_Composants_Obso'!$G$2:$G$501,E4,'02_Composants_Obso'!$M$2:$M$501,"Critique")&gt;0,"Critique",IF(COUNTIFS('02_Composants_Obso'!$D$2:$D$501,D4,'02_Composants_Obso'!$G$2:$G$501,E4,'02_Composants_Obso'!$M$2:$M$501,"Élevé")&gt;0,"Élevé",IF(COUNTIFS('02_Composants_Obso'!$D$2:$D$501,D4,'02_Composants_Obso'!$G$2:$G$501,E4,'02_Composants_Obso'!$M$2:$M$501,"Moyen")&gt;0,"Moyen","Faible"))))</x:f>
        <x:v>Faible</x:v>
      </x:c>
    </x:row>
    <x:row r="5">
      <x:c r="A5" t="str">
        <x:v>EOL dépassée</x:v>
      </x:c>
      <x:c r="B5" t="n">
        <x:f>COUNTIF('02_Composants_Obso'!U2:U501,"EOL dépassée")</x:f>
        <x:v>0</x:v>
      </x:c>
      <x:c r="D5" t="str">
        <x:v>.NET</x:v>
      </x:c>
      <x:c r="E5" t="str">
        <x:v>8.0</x:v>
      </x:c>
      <x:c r="F5" t="n">
        <x:f>IF(OR(D5="",E5=""),"",COUNTIFS('02_Composants_Obso'!$D$2:$D$501,D5,'02_Composants_Obso'!$G$2:$G$501,E5,'02_Composants_Obso'!$B$2:$B$501,"&lt;&gt;"))</x:f>
        <x:v>1</x:v>
      </x:c>
      <x:c r="G5" t="n">
        <x:f>IF(D5="","",COUNTIFS('02_Composants_Obso'!$D$2:$D$501,D5,'02_Composants_Obso'!$G$2:$G$501,E5,'02_Composants_Obso'!$U$2:$U$501,"EOL dépassée"))</x:f>
        <x:v>0</x:v>
      </x:c>
      <x:c r="H5" t="n">
        <x:f>IF(D5="","",SUMPRODUCT(--('02_Composants_Obso'!$D$2:$D$501=D5),--('02_Composants_Obso'!$G$2:$G$501=E5),--('02_Composants_Obso'!$U$2:$U$501="&lt; 6 mois"))+SUMPRODUCT(--('02_Composants_Obso'!$D$2:$D$501=D5),--('02_Composants_Obso'!$G$2:$G$501=E5),--('02_Composants_Obso'!$U$2:$U$501="&lt; 12 mois")))</x:f>
        <x:v>0</x:v>
      </x:c>
      <x:c r="I5" t="str">
        <x:f>IF(D5="","",IF(COUNTIFS('02_Composants_Obso'!$D$2:$D$501,D5,'02_Composants_Obso'!$G$2:$G$501,E5,'02_Composants_Obso'!$M$2:$M$501,"Critique")&gt;0,"Critique",IF(COUNTIFS('02_Composants_Obso'!$D$2:$D$501,D5,'02_Composants_Obso'!$G$2:$G$501,E5,'02_Composants_Obso'!$M$2:$M$501,"Élevé")&gt;0,"Élevé",IF(COUNTIFS('02_Composants_Obso'!$D$2:$D$501,D5,'02_Composants_Obso'!$G$2:$G$501,E5,'02_Composants_Obso'!$M$2:$M$501,"Moyen")&gt;0,"Moyen","Faible"))))</x:f>
        <x:v>Moyen</x:v>
      </x:c>
    </x:row>
    <x:row r="6">
      <x:c r="A6" t="str">
        <x:v>EOL &lt; 12 mois</x:v>
      </x:c>
      <x:c r="B6" t="n">
        <x:f>SUMPRODUCT(--('02_Composants_Obso'!U2:U501="&lt; 6 mois"))+SUMPRODUCT(--('02_Composants_Obso'!U2:U501="&lt; 12 mois"))</x:f>
        <x:v>0</x:v>
      </x:c>
      <x:c r="D6" t="str">
        <x:v>PostgreSQL</x:v>
      </x:c>
      <x:c r="E6" t="str">
        <x:v>15</x:v>
      </x:c>
      <x:c r="F6" t="n">
        <x:f>IF(OR(D6="",E6=""),"",COUNTIFS('02_Composants_Obso'!$D$2:$D$501,D6,'02_Composants_Obso'!$G$2:$G$501,E6,'02_Composants_Obso'!$B$2:$B$501,"&lt;&gt;"))</x:f>
        <x:v>1</x:v>
      </x:c>
      <x:c r="G6" t="n">
        <x:f>IF(D6="","",COUNTIFS('02_Composants_Obso'!$D$2:$D$501,D6,'02_Composants_Obso'!$G$2:$G$501,E6,'02_Composants_Obso'!$U$2:$U$501,"EOL dépassée"))</x:f>
        <x:v>0</x:v>
      </x:c>
      <x:c r="H6" t="n">
        <x:f>IF(D6="","",SUMPRODUCT(--('02_Composants_Obso'!$D$2:$D$501=D6),--('02_Composants_Obso'!$G$2:$G$501=E6),--('02_Composants_Obso'!$U$2:$U$501="&lt; 6 mois"))+SUMPRODUCT(--('02_Composants_Obso'!$D$2:$D$501=D6),--('02_Composants_Obso'!$G$2:$G$501=E6),--('02_Composants_Obso'!$U$2:$U$501="&lt; 12 mois")))</x:f>
        <x:v>0</x:v>
      </x:c>
      <x:c r="I6" t="str">
        <x:f>IF(D6="","",IF(COUNTIFS('02_Composants_Obso'!$D$2:$D$501,D6,'02_Composants_Obso'!$G$2:$G$501,E6,'02_Composants_Obso'!$M$2:$M$501,"Critique")&gt;0,"Critique",IF(COUNTIFS('02_Composants_Obso'!$D$2:$D$501,D6,'02_Composants_Obso'!$G$2:$G$501,E6,'02_Composants_Obso'!$M$2:$M$501,"Élevé")&gt;0,"Élevé",IF(COUNTIFS('02_Composants_Obso'!$D$2:$D$501,D6,'02_Composants_Obso'!$G$2:$G$501,E6,'02_Composants_Obso'!$M$2:$M$501,"Moyen")&gt;0,"Moyen","Faible"))))</x:f>
        <x:v>Faible</x:v>
      </x:c>
    </x:row>
    <x:row r="7">
      <x:c r="A7" t="str">
        <x:v>Risque Élevé / Critique</x:v>
      </x:c>
      <x:c r="B7" t="n">
        <x:f>COUNTIF('02_Composants_Obso'!M2:M501,"Élevé")+COUNTIF('02_Composants_Obso'!M2:M501,"Critique")</x:f>
        <x:v>0</x:v>
      </x:c>
      <x:c r="D7" t="str">
        <x:v>OpenShift</x:v>
      </x:c>
      <x:c r="E7" t="str">
        <x:v>4.x</x:v>
      </x:c>
      <x:c r="F7" t="n">
        <x:f>IF(OR(D7="",E7=""),"",COUNTIFS('02_Composants_Obso'!$D$2:$D$501,D7,'02_Composants_Obso'!$G$2:$G$501,E7,'02_Composants_Obso'!$B$2:$B$501,"&lt;&gt;"))</x:f>
        <x:v>1</x:v>
      </x:c>
      <x:c r="G7" t="n">
        <x:f>IF(D7="","",COUNTIFS('02_Composants_Obso'!$D$2:$D$501,D7,'02_Composants_Obso'!$G$2:$G$501,E7,'02_Composants_Obso'!$U$2:$U$501,"EOL dépassée"))</x:f>
        <x:v>0</x:v>
      </x:c>
      <x:c r="H7" t="n">
        <x:f>IF(D7="","",SUMPRODUCT(--('02_Composants_Obso'!$D$2:$D$501=D7),--('02_Composants_Obso'!$G$2:$G$501=E7),--('02_Composants_Obso'!$U$2:$U$501="&lt; 6 mois"))+SUMPRODUCT(--('02_Composants_Obso'!$D$2:$D$501=D7),--('02_Composants_Obso'!$G$2:$G$501=E7),--('02_Composants_Obso'!$U$2:$U$501="&lt; 12 mois")))</x:f>
        <x:v>0</x:v>
      </x:c>
      <x:c r="I7" t="str">
        <x:f>IF(D7="","",IF(COUNTIFS('02_Composants_Obso'!$D$2:$D$501,D7,'02_Composants_Obso'!$G$2:$G$501,E7,'02_Composants_Obso'!$M$2:$M$501,"Critique")&gt;0,"Critique",IF(COUNTIFS('02_Composants_Obso'!$D$2:$D$501,D7,'02_Composants_Obso'!$G$2:$G$501,E7,'02_Composants_Obso'!$M$2:$M$501,"Élevé")&gt;0,"Élevé",IF(COUNTIFS('02_Composants_Obso'!$D$2:$D$501,D7,'02_Composants_Obso'!$G$2:$G$501,E7,'02_Composants_Obso'!$M$2:$M$501,"Moyen")&gt;0,"Moyen","Faible"))))</x:f>
        <x:v>Moyen</x:v>
      </x:c>
    </x:row>
    <x:row r="8">
      <x:c r="A8" t="str">
        <x:v>Plans de remédiation ouverts</x:v>
      </x:c>
      <x:c r="B8" t="n">
        <x:f>COUNTIF('02_Composants_Obso'!Q2:Q501,"À analyser")+COUNTIF('02_Composants_Obso'!Q2:Q501,"Planifié")+COUNTIF('02_Composants_Obso'!Q2:Q501,"En cours")+COUNTIF('02_Composants_Obso'!Q2:Q501,"Bloqué")</x:f>
        <x:v>5</x:v>
      </x:c>
      <x:c r="D8" t="str">
        <x:v>Bash</x:v>
      </x:c>
      <x:c r="E8" t="str">
        <x:v>5.x</x:v>
      </x:c>
      <x:c r="F8" t="n">
        <x:f>IF(OR(D8="",E8=""),"",COUNTIFS('02_Composants_Obso'!$D$2:$D$501,D8,'02_Composants_Obso'!$G$2:$G$501,E8,'02_Composants_Obso'!$B$2:$B$501,"&lt;&gt;"))</x:f>
        <x:v>1</x:v>
      </x:c>
      <x:c r="G8" t="n">
        <x:f>IF(D8="","",COUNTIFS('02_Composants_Obso'!$D$2:$D$501,D8,'02_Composants_Obso'!$G$2:$G$501,E8,'02_Composants_Obso'!$U$2:$U$501,"EOL dépassée"))</x:f>
        <x:v>0</x:v>
      </x:c>
      <x:c r="H8" t="n">
        <x:f>IF(D8="","",SUMPRODUCT(--('02_Composants_Obso'!$D$2:$D$501=D8),--('02_Composants_Obso'!$G$2:$G$501=E8),--('02_Composants_Obso'!$U$2:$U$501="&lt; 6 mois"))+SUMPRODUCT(--('02_Composants_Obso'!$D$2:$D$501=D8),--('02_Composants_Obso'!$G$2:$G$501=E8),--('02_Composants_Obso'!$U$2:$U$501="&lt; 12 mois")))</x:f>
        <x:v>0</x:v>
      </x:c>
      <x:c r="I8" t="str">
        <x:f>IF(D8="","",IF(COUNTIFS('02_Composants_Obso'!$D$2:$D$501,D8,'02_Composants_Obso'!$G$2:$G$501,E8,'02_Composants_Obso'!$M$2:$M$501,"Critique")&gt;0,"Critique",IF(COUNTIFS('02_Composants_Obso'!$D$2:$D$501,D8,'02_Composants_Obso'!$G$2:$G$501,E8,'02_Composants_Obso'!$M$2:$M$501,"Élevé")&gt;0,"Élevé",IF(COUNTIFS('02_Composants_Obso'!$D$2:$D$501,D8,'02_Composants_Obso'!$G$2:$G$501,E8,'02_Composants_Obso'!$M$2:$M$501,"Moyen")&gt;0,"Moyen","Faible"))))</x:f>
        <x:v>Moyen</x:v>
      </x:c>
    </x:row>
    <x:row r="9">
      <x:c r="D9"/>
      <x:c r="E9"/>
      <x:c r="F9" t="str">
        <x:f>IF(OR(D9="",E9=""),"",COUNTIFS('02_Composants_Obso'!$D$2:$D$501,D9,'02_Composants_Obso'!$G$2:$G$501,E9,'02_Composants_Obso'!$B$2:$B$501,"&lt;&gt;"))</x:f>
      </x:c>
      <x:c r="G9" t="str">
        <x:f>IF(D9="","",COUNTIFS('02_Composants_Obso'!$D$2:$D$501,D9,'02_Composants_Obso'!$G$2:$G$501,E9,'02_Composants_Obso'!$U$2:$U$501,"EOL dépassée"))</x:f>
      </x:c>
      <x:c r="H9" t="str">
        <x:f>IF(D9="","",SUMPRODUCT(--('02_Composants_Obso'!$D$2:$D$501=D9),--('02_Composants_Obso'!$G$2:$G$501=E9),--('02_Composants_Obso'!$U$2:$U$501="&lt; 6 mois"))+SUMPRODUCT(--('02_Composants_Obso'!$D$2:$D$501=D9),--('02_Composants_Obso'!$G$2:$G$501=E9),--('02_Composants_Obso'!$U$2:$U$501="&lt; 12 mois")))</x:f>
      </x:c>
      <x:c r="I9" t="str">
        <x:f>IF(D9="","",IF(COUNTIFS('02_Composants_Obso'!$D$2:$D$501,D9,'02_Composants_Obso'!$G$2:$G$501,E9,'02_Composants_Obso'!$M$2:$M$501,"Critique")&gt;0,"Critique",IF(COUNTIFS('02_Composants_Obso'!$D$2:$D$501,D9,'02_Composants_Obso'!$G$2:$G$501,E9,'02_Composants_Obso'!$M$2:$M$501,"Élevé")&gt;0,"Élevé",IF(COUNTIFS('02_Composants_Obso'!$D$2:$D$501,D9,'02_Composants_Obso'!$G$2:$G$501,E9,'02_Composants_Obso'!$M$2:$M$501,"Moyen")&gt;0,"Moyen","Faible"))))</x:f>
      </x:c>
    </x:row>
    <x:row r="10">
      <x:c r="A10" s="143" t="str">
        <x:v>Principe : 02_Composants_Obso reste la source de vérité par application/composant. La vue Technologie / Version sert au pilotage transverse. Le nombre d'applications suppose qu'une même technologie/version est déclarée une seule fois par application.</x:v>
      </x:c>
      <x:c r="B10" s="143"/>
      <x:c r="C10" s="143"/>
      <x:c r="D10" s="143"/>
      <x:c r="E10" s="143"/>
      <x:c r="F10" s="143" t="str">
        <x:f>IF(OR(D10="",E10=""),"",COUNTIFS('02_Composants_Obso'!$D$2:$D$501,D10,'02_Composants_Obso'!$G$2:$G$501,E10,'02_Composants_Obso'!$B$2:$B$501,"&lt;&gt;"))</x:f>
      </x:c>
      <x:c r="G10" s="143" t="str">
        <x:f>IF(D10="","",COUNTIFS('02_Composants_Obso'!$D$2:$D$501,D10,'02_Composants_Obso'!$G$2:$G$501,E10,'02_Composants_Obso'!$U$2:$U$501,"EOL dépassée"))</x:f>
      </x:c>
      <x:c r="H10" s="143" t="str">
        <x:f>IF(D10="","",SUMPRODUCT(--('02_Composants_Obso'!$D$2:$D$501=D10),--('02_Composants_Obso'!$G$2:$G$501=E10),--('02_Composants_Obso'!$U$2:$U$501="&lt; 6 mois"))+SUMPRODUCT(--('02_Composants_Obso'!$D$2:$D$501=D10),--('02_Composants_Obso'!$G$2:$G$501=E10),--('02_Composants_Obso'!$U$2:$U$501="&lt; 12 mois")))</x:f>
      </x:c>
      <x:c r="I10" s="143" t="str">
        <x:f>IF(D10="","",IF(COUNTIFS('02_Composants_Obso'!$D$2:$D$501,D10,'02_Composants_Obso'!$G$2:$G$501,E10,'02_Composants_Obso'!$M$2:$M$501,"Critique")&gt;0,"Critique",IF(COUNTIFS('02_Composants_Obso'!$D$2:$D$501,D10,'02_Composants_Obso'!$G$2:$G$501,E10,'02_Composants_Obso'!$M$2:$M$501,"Élevé")&gt;0,"Élevé",IF(COUNTIFS('02_Composants_Obso'!$D$2:$D$501,D10,'02_Composants_Obso'!$G$2:$G$501,E10,'02_Composants_Obso'!$M$2:$M$501,"Moyen")&gt;0,"Moyen","Faible"))))</x:f>
      </x:c>
    </x:row>
    <x:row r="11">
      <x:c r="A11" s="143"/>
      <x:c r="B11" s="143"/>
      <x:c r="C11" s="143"/>
      <x:c r="D11" s="143"/>
      <x:c r="E11" s="143"/>
      <x:c r="F11" s="143" t="str">
        <x:f>IF(OR(D11="",E11=""),"",COUNTIFS('02_Composants_Obso'!$D$2:$D$501,D11,'02_Composants_Obso'!$G$2:$G$501,E11,'02_Composants_Obso'!$B$2:$B$501,"&lt;&gt;"))</x:f>
      </x:c>
      <x:c r="G11" s="143" t="str">
        <x:f>IF(D11="","",COUNTIFS('02_Composants_Obso'!$D$2:$D$501,D11,'02_Composants_Obso'!$G$2:$G$501,E11,'02_Composants_Obso'!$U$2:$U$501,"EOL dépassée"))</x:f>
      </x:c>
      <x:c r="H11" s="143" t="str">
        <x:f>IF(D11="","",SUMPRODUCT(--('02_Composants_Obso'!$D$2:$D$501=D11),--('02_Composants_Obso'!$G$2:$G$501=E11),--('02_Composants_Obso'!$U$2:$U$501="&lt; 6 mois"))+SUMPRODUCT(--('02_Composants_Obso'!$D$2:$D$501=D11),--('02_Composants_Obso'!$G$2:$G$501=E11),--('02_Composants_Obso'!$U$2:$U$501="&lt; 12 mois")))</x:f>
      </x:c>
      <x:c r="I11" s="143" t="str">
        <x:f>IF(D11="","",IF(COUNTIFS('02_Composants_Obso'!$D$2:$D$501,D11,'02_Composants_Obso'!$G$2:$G$501,E11,'02_Composants_Obso'!$M$2:$M$501,"Critique")&gt;0,"Critique",IF(COUNTIFS('02_Composants_Obso'!$D$2:$D$501,D11,'02_Composants_Obso'!$G$2:$G$501,E11,'02_Composants_Obso'!$M$2:$M$501,"Élevé")&gt;0,"Élevé",IF(COUNTIFS('02_Composants_Obso'!$D$2:$D$501,D11,'02_Composants_Obso'!$G$2:$G$501,E11,'02_Composants_Obso'!$M$2:$M$501,"Moyen")&gt;0,"Moyen","Faible"))))</x:f>
      </x:c>
    </x:row>
    <x:row r="12">
      <x:c r="D12"/>
      <x:c r="E12"/>
      <x:c r="F12" t="str">
        <x:f>IF(OR(D12="",E12=""),"",COUNTIFS('02_Composants_Obso'!$D$2:$D$501,D12,'02_Composants_Obso'!$G$2:$G$501,E12,'02_Composants_Obso'!$B$2:$B$501,"&lt;&gt;"))</x:f>
      </x:c>
      <x:c r="G12" t="str">
        <x:f>IF(D12="","",COUNTIFS('02_Composants_Obso'!$D$2:$D$501,D12,'02_Composants_Obso'!$G$2:$G$501,E12,'02_Composants_Obso'!$U$2:$U$501,"EOL dépassée"))</x:f>
      </x:c>
      <x:c r="H12" t="str">
        <x:f>IF(D12="","",SUMPRODUCT(--('02_Composants_Obso'!$D$2:$D$501=D12),--('02_Composants_Obso'!$G$2:$G$501=E12),--('02_Composants_Obso'!$U$2:$U$501="&lt; 6 mois"))+SUMPRODUCT(--('02_Composants_Obso'!$D$2:$D$501=D12),--('02_Composants_Obso'!$G$2:$G$501=E12),--('02_Composants_Obso'!$U$2:$U$501="&lt; 12 mois")))</x:f>
      </x:c>
      <x:c r="I12" t="str">
        <x:f>IF(D12="","",IF(COUNTIFS('02_Composants_Obso'!$D$2:$D$501,D12,'02_Composants_Obso'!$G$2:$G$501,E12,'02_Composants_Obso'!$M$2:$M$501,"Critique")&gt;0,"Critique",IF(COUNTIFS('02_Composants_Obso'!$D$2:$D$501,D12,'02_Composants_Obso'!$G$2:$G$501,E12,'02_Composants_Obso'!$M$2:$M$501,"Élevé")&gt;0,"Élevé",IF(COUNTIFS('02_Composants_Obso'!$D$2:$D$501,D12,'02_Composants_Obso'!$G$2:$G$501,E12,'02_Composants_Obso'!$M$2:$M$501,"Moyen")&gt;0,"Moyen","Faible"))))</x:f>
      </x:c>
    </x:row>
    <x:row r="13">
      <x:c r="D13"/>
      <x:c r="E13"/>
      <x:c r="F13" t="str">
        <x:f>IF(OR(D13="",E13=""),"",COUNTIFS('02_Composants_Obso'!$D$2:$D$501,D13,'02_Composants_Obso'!$G$2:$G$501,E13,'02_Composants_Obso'!$B$2:$B$501,"&lt;&gt;"))</x:f>
      </x:c>
      <x:c r="G13" t="str">
        <x:f>IF(D13="","",COUNTIFS('02_Composants_Obso'!$D$2:$D$501,D13,'02_Composants_Obso'!$G$2:$G$501,E13,'02_Composants_Obso'!$U$2:$U$501,"EOL dépassée"))</x:f>
      </x:c>
      <x:c r="H13" t="str">
        <x:f>IF(D13="","",SUMPRODUCT(--('02_Composants_Obso'!$D$2:$D$501=D13),--('02_Composants_Obso'!$G$2:$G$501=E13),--('02_Composants_Obso'!$U$2:$U$501="&lt; 6 mois"))+SUMPRODUCT(--('02_Composants_Obso'!$D$2:$D$501=D13),--('02_Composants_Obso'!$G$2:$G$501=E13),--('02_Composants_Obso'!$U$2:$U$501="&lt; 12 mois")))</x:f>
      </x:c>
      <x:c r="I13" t="str">
        <x:f>IF(D13="","",IF(COUNTIFS('02_Composants_Obso'!$D$2:$D$501,D13,'02_Composants_Obso'!$G$2:$G$501,E13,'02_Composants_Obso'!$M$2:$M$501,"Critique")&gt;0,"Critique",IF(COUNTIFS('02_Composants_Obso'!$D$2:$D$501,D13,'02_Composants_Obso'!$G$2:$G$501,E13,'02_Composants_Obso'!$M$2:$M$501,"Élevé")&gt;0,"Élevé",IF(COUNTIFS('02_Composants_Obso'!$D$2:$D$501,D13,'02_Composants_Obso'!$G$2:$G$501,E13,'02_Composants_Obso'!$M$2:$M$501,"Moyen")&gt;0,"Moyen","Faible"))))</x:f>
      </x:c>
    </x:row>
    <x:row r="14">
      <x:c r="D14"/>
      <x:c r="E14"/>
      <x:c r="F14" t="str">
        <x:f>IF(OR(D14="",E14=""),"",COUNTIFS('02_Composants_Obso'!$D$2:$D$501,D14,'02_Composants_Obso'!$G$2:$G$501,E14,'02_Composants_Obso'!$B$2:$B$501,"&lt;&gt;"))</x:f>
      </x:c>
      <x:c r="G14" t="str">
        <x:f>IF(D14="","",COUNTIFS('02_Composants_Obso'!$D$2:$D$501,D14,'02_Composants_Obso'!$G$2:$G$501,E14,'02_Composants_Obso'!$U$2:$U$501,"EOL dépassée"))</x:f>
      </x:c>
      <x:c r="H14" t="str">
        <x:f>IF(D14="","",SUMPRODUCT(--('02_Composants_Obso'!$D$2:$D$501=D14),--('02_Composants_Obso'!$G$2:$G$501=E14),--('02_Composants_Obso'!$U$2:$U$501="&lt; 6 mois"))+SUMPRODUCT(--('02_Composants_Obso'!$D$2:$D$501=D14),--('02_Composants_Obso'!$G$2:$G$501=E14),--('02_Composants_Obso'!$U$2:$U$501="&lt; 12 mois")))</x:f>
      </x:c>
      <x:c r="I14" t="str">
        <x:f>IF(D14="","",IF(COUNTIFS('02_Composants_Obso'!$D$2:$D$501,D14,'02_Composants_Obso'!$G$2:$G$501,E14,'02_Composants_Obso'!$M$2:$M$501,"Critique")&gt;0,"Critique",IF(COUNTIFS('02_Composants_Obso'!$D$2:$D$501,D14,'02_Composants_Obso'!$G$2:$G$501,E14,'02_Composants_Obso'!$M$2:$M$501,"Élevé")&gt;0,"Élevé",IF(COUNTIFS('02_Composants_Obso'!$D$2:$D$501,D14,'02_Composants_Obso'!$G$2:$G$501,E14,'02_Composants_Obso'!$M$2:$M$501,"Moyen")&gt;0,"Moyen","Faible"))))</x:f>
      </x:c>
    </x:row>
    <x:row r="15">
      <x:c r="D15"/>
      <x:c r="E15"/>
      <x:c r="F15" t="str">
        <x:f>IF(OR(D15="",E15=""),"",COUNTIFS('02_Composants_Obso'!$D$2:$D$501,D15,'02_Composants_Obso'!$G$2:$G$501,E15,'02_Composants_Obso'!$B$2:$B$501,"&lt;&gt;"))</x:f>
      </x:c>
      <x:c r="G15" t="str">
        <x:f>IF(D15="","",COUNTIFS('02_Composants_Obso'!$D$2:$D$501,D15,'02_Composants_Obso'!$G$2:$G$501,E15,'02_Composants_Obso'!$U$2:$U$501,"EOL dépassée"))</x:f>
      </x:c>
      <x:c r="H15" t="str">
        <x:f>IF(D15="","",SUMPRODUCT(--('02_Composants_Obso'!$D$2:$D$501=D15),--('02_Composants_Obso'!$G$2:$G$501=E15),--('02_Composants_Obso'!$U$2:$U$501="&lt; 6 mois"))+SUMPRODUCT(--('02_Composants_Obso'!$D$2:$D$501=D15),--('02_Composants_Obso'!$G$2:$G$501=E15),--('02_Composants_Obso'!$U$2:$U$501="&lt; 12 mois")))</x:f>
      </x:c>
      <x:c r="I15" t="str">
        <x:f>IF(D15="","",IF(COUNTIFS('02_Composants_Obso'!$D$2:$D$501,D15,'02_Composants_Obso'!$G$2:$G$501,E15,'02_Composants_Obso'!$M$2:$M$501,"Critique")&gt;0,"Critique",IF(COUNTIFS('02_Composants_Obso'!$D$2:$D$501,D15,'02_Composants_Obso'!$G$2:$G$501,E15,'02_Composants_Obso'!$M$2:$M$501,"Élevé")&gt;0,"Élevé",IF(COUNTIFS('02_Composants_Obso'!$D$2:$D$501,D15,'02_Composants_Obso'!$G$2:$G$501,E15,'02_Composants_Obso'!$M$2:$M$501,"Moyen")&gt;0,"Moyen","Faible"))))</x:f>
      </x:c>
    </x:row>
    <x:row r="16">
      <x:c r="D16"/>
      <x:c r="E16"/>
      <x:c r="F16" t="str">
        <x:f>IF(OR(D16="",E16=""),"",COUNTIFS('02_Composants_Obso'!$D$2:$D$501,D16,'02_Composants_Obso'!$G$2:$G$501,E16,'02_Composants_Obso'!$B$2:$B$501,"&lt;&gt;"))</x:f>
      </x:c>
      <x:c r="G16" t="str">
        <x:f>IF(D16="","",COUNTIFS('02_Composants_Obso'!$D$2:$D$501,D16,'02_Composants_Obso'!$G$2:$G$501,E16,'02_Composants_Obso'!$U$2:$U$501,"EOL dépassée"))</x:f>
      </x:c>
      <x:c r="H16" t="str">
        <x:f>IF(D16="","",SUMPRODUCT(--('02_Composants_Obso'!$D$2:$D$501=D16),--('02_Composants_Obso'!$G$2:$G$501=E16),--('02_Composants_Obso'!$U$2:$U$501="&lt; 6 mois"))+SUMPRODUCT(--('02_Composants_Obso'!$D$2:$D$501=D16),--('02_Composants_Obso'!$G$2:$G$501=E16),--('02_Composants_Obso'!$U$2:$U$501="&lt; 12 mois")))</x:f>
      </x:c>
      <x:c r="I16" t="str">
        <x:f>IF(D16="","",IF(COUNTIFS('02_Composants_Obso'!$D$2:$D$501,D16,'02_Composants_Obso'!$G$2:$G$501,E16,'02_Composants_Obso'!$M$2:$M$501,"Critique")&gt;0,"Critique",IF(COUNTIFS('02_Composants_Obso'!$D$2:$D$501,D16,'02_Composants_Obso'!$G$2:$G$501,E16,'02_Composants_Obso'!$M$2:$M$501,"Élevé")&gt;0,"Élevé",IF(COUNTIFS('02_Composants_Obso'!$D$2:$D$501,D16,'02_Composants_Obso'!$G$2:$G$501,E16,'02_Composants_Obso'!$M$2:$M$501,"Moyen")&gt;0,"Moyen","Faible"))))</x:f>
      </x:c>
    </x:row>
    <x:row r="17">
      <x:c r="D17"/>
      <x:c r="E17"/>
      <x:c r="F17" t="str">
        <x:f>IF(OR(D17="",E17=""),"",COUNTIFS('02_Composants_Obso'!$D$2:$D$501,D17,'02_Composants_Obso'!$G$2:$G$501,E17,'02_Composants_Obso'!$B$2:$B$501,"&lt;&gt;"))</x:f>
      </x:c>
      <x:c r="G17" t="str">
        <x:f>IF(D17="","",COUNTIFS('02_Composants_Obso'!$D$2:$D$501,D17,'02_Composants_Obso'!$G$2:$G$501,E17,'02_Composants_Obso'!$U$2:$U$501,"EOL dépassée"))</x:f>
      </x:c>
      <x:c r="H17" t="str">
        <x:f>IF(D17="","",SUMPRODUCT(--('02_Composants_Obso'!$D$2:$D$501=D17),--('02_Composants_Obso'!$G$2:$G$501=E17),--('02_Composants_Obso'!$U$2:$U$501="&lt; 6 mois"))+SUMPRODUCT(--('02_Composants_Obso'!$D$2:$D$501=D17),--('02_Composants_Obso'!$G$2:$G$501=E17),--('02_Composants_Obso'!$U$2:$U$501="&lt; 12 mois")))</x:f>
      </x:c>
      <x:c r="I17" t="str">
        <x:f>IF(D17="","",IF(COUNTIFS('02_Composants_Obso'!$D$2:$D$501,D17,'02_Composants_Obso'!$G$2:$G$501,E17,'02_Composants_Obso'!$M$2:$M$501,"Critique")&gt;0,"Critique",IF(COUNTIFS('02_Composants_Obso'!$D$2:$D$501,D17,'02_Composants_Obso'!$G$2:$G$501,E17,'02_Composants_Obso'!$M$2:$M$501,"Élevé")&gt;0,"Élevé",IF(COUNTIFS('02_Composants_Obso'!$D$2:$D$501,D17,'02_Composants_Obso'!$G$2:$G$501,E17,'02_Composants_Obso'!$M$2:$M$501,"Moyen")&gt;0,"Moyen","Faible"))))</x:f>
      </x:c>
    </x:row>
    <x:row r="18">
      <x:c r="D18"/>
      <x:c r="E18"/>
      <x:c r="F18" t="str">
        <x:f>IF(OR(D18="",E18=""),"",COUNTIFS('02_Composants_Obso'!$D$2:$D$501,D18,'02_Composants_Obso'!$G$2:$G$501,E18,'02_Composants_Obso'!$B$2:$B$501,"&lt;&gt;"))</x:f>
      </x:c>
      <x:c r="G18" t="str">
        <x:f>IF(D18="","",COUNTIFS('02_Composants_Obso'!$D$2:$D$501,D18,'02_Composants_Obso'!$G$2:$G$501,E18,'02_Composants_Obso'!$U$2:$U$501,"EOL dépassée"))</x:f>
      </x:c>
      <x:c r="H18" t="str">
        <x:f>IF(D18="","",SUMPRODUCT(--('02_Composants_Obso'!$D$2:$D$501=D18),--('02_Composants_Obso'!$G$2:$G$501=E18),--('02_Composants_Obso'!$U$2:$U$501="&lt; 6 mois"))+SUMPRODUCT(--('02_Composants_Obso'!$D$2:$D$501=D18),--('02_Composants_Obso'!$G$2:$G$501=E18),--('02_Composants_Obso'!$U$2:$U$501="&lt; 12 mois")))</x:f>
      </x:c>
      <x:c r="I18" t="str">
        <x:f>IF(D18="","",IF(COUNTIFS('02_Composants_Obso'!$D$2:$D$501,D18,'02_Composants_Obso'!$G$2:$G$501,E18,'02_Composants_Obso'!$M$2:$M$501,"Critique")&gt;0,"Critique",IF(COUNTIFS('02_Composants_Obso'!$D$2:$D$501,D18,'02_Composants_Obso'!$G$2:$G$501,E18,'02_Composants_Obso'!$M$2:$M$501,"Élevé")&gt;0,"Élevé",IF(COUNTIFS('02_Composants_Obso'!$D$2:$D$501,D18,'02_Composants_Obso'!$G$2:$G$501,E18,'02_Composants_Obso'!$M$2:$M$501,"Moyen")&gt;0,"Moyen","Faible"))))</x:f>
      </x:c>
    </x:row>
    <x:row r="19">
      <x:c r="D19"/>
      <x:c r="E19"/>
      <x:c r="F19" t="str">
        <x:f>IF(OR(D19="",E19=""),"",COUNTIFS('02_Composants_Obso'!$D$2:$D$501,D19,'02_Composants_Obso'!$G$2:$G$501,E19,'02_Composants_Obso'!$B$2:$B$501,"&lt;&gt;"))</x:f>
      </x:c>
      <x:c r="G19" t="str">
        <x:f>IF(D19="","",COUNTIFS('02_Composants_Obso'!$D$2:$D$501,D19,'02_Composants_Obso'!$G$2:$G$501,E19,'02_Composants_Obso'!$U$2:$U$501,"EOL dépassée"))</x:f>
      </x:c>
      <x:c r="H19" t="str">
        <x:f>IF(D19="","",SUMPRODUCT(--('02_Composants_Obso'!$D$2:$D$501=D19),--('02_Composants_Obso'!$G$2:$G$501=E19),--('02_Composants_Obso'!$U$2:$U$501="&lt; 6 mois"))+SUMPRODUCT(--('02_Composants_Obso'!$D$2:$D$501=D19),--('02_Composants_Obso'!$G$2:$G$501=E19),--('02_Composants_Obso'!$U$2:$U$501="&lt; 12 mois")))</x:f>
      </x:c>
      <x:c r="I19" t="str">
        <x:f>IF(D19="","",IF(COUNTIFS('02_Composants_Obso'!$D$2:$D$501,D19,'02_Composants_Obso'!$G$2:$G$501,E19,'02_Composants_Obso'!$M$2:$M$501,"Critique")&gt;0,"Critique",IF(COUNTIFS('02_Composants_Obso'!$D$2:$D$501,D19,'02_Composants_Obso'!$G$2:$G$501,E19,'02_Composants_Obso'!$M$2:$M$501,"Élevé")&gt;0,"Élevé",IF(COUNTIFS('02_Composants_Obso'!$D$2:$D$501,D19,'02_Composants_Obso'!$G$2:$G$501,E19,'02_Composants_Obso'!$M$2:$M$501,"Moyen")&gt;0,"Moyen","Faible"))))</x:f>
      </x:c>
    </x:row>
    <x:row r="20">
      <x:c r="D20"/>
      <x:c r="E20"/>
      <x:c r="F20" t="str">
        <x:f>IF(OR(D20="",E20=""),"",COUNTIFS('02_Composants_Obso'!$D$2:$D$501,D20,'02_Composants_Obso'!$G$2:$G$501,E20,'02_Composants_Obso'!$B$2:$B$501,"&lt;&gt;"))</x:f>
      </x:c>
      <x:c r="G20" t="str">
        <x:f>IF(D20="","",COUNTIFS('02_Composants_Obso'!$D$2:$D$501,D20,'02_Composants_Obso'!$G$2:$G$501,E20,'02_Composants_Obso'!$U$2:$U$501,"EOL dépassée"))</x:f>
      </x:c>
      <x:c r="H20" t="str">
        <x:f>IF(D20="","",SUMPRODUCT(--('02_Composants_Obso'!$D$2:$D$501=D20),--('02_Composants_Obso'!$G$2:$G$501=E20),--('02_Composants_Obso'!$U$2:$U$501="&lt; 6 mois"))+SUMPRODUCT(--('02_Composants_Obso'!$D$2:$D$501=D20),--('02_Composants_Obso'!$G$2:$G$501=E20),--('02_Composants_Obso'!$U$2:$U$501="&lt; 12 mois")))</x:f>
      </x:c>
      <x:c r="I20" t="str">
        <x:f>IF(D20="","",IF(COUNTIFS('02_Composants_Obso'!$D$2:$D$501,D20,'02_Composants_Obso'!$G$2:$G$501,E20,'02_Composants_Obso'!$M$2:$M$501,"Critique")&gt;0,"Critique",IF(COUNTIFS('02_Composants_Obso'!$D$2:$D$501,D20,'02_Composants_Obso'!$G$2:$G$501,E20,'02_Composants_Obso'!$M$2:$M$501,"Élevé")&gt;0,"Élevé",IF(COUNTIFS('02_Composants_Obso'!$D$2:$D$501,D20,'02_Composants_Obso'!$G$2:$G$501,E20,'02_Composants_Obso'!$M$2:$M$501,"Moyen")&gt;0,"Moyen","Faible"))))</x:f>
      </x:c>
    </x:row>
    <x:row r="21">
      <x:c r="D21"/>
      <x:c r="E21"/>
      <x:c r="F21" t="str">
        <x:f>IF(OR(D21="",E21=""),"",COUNTIFS('02_Composants_Obso'!$D$2:$D$501,D21,'02_Composants_Obso'!$G$2:$G$501,E21,'02_Composants_Obso'!$B$2:$B$501,"&lt;&gt;"))</x:f>
      </x:c>
      <x:c r="G21" t="str">
        <x:f>IF(D21="","",COUNTIFS('02_Composants_Obso'!$D$2:$D$501,D21,'02_Composants_Obso'!$G$2:$G$501,E21,'02_Composants_Obso'!$U$2:$U$501,"EOL dépassée"))</x:f>
      </x:c>
      <x:c r="H21" t="str">
        <x:f>IF(D21="","",SUMPRODUCT(--('02_Composants_Obso'!$D$2:$D$501=D21),--('02_Composants_Obso'!$G$2:$G$501=E21),--('02_Composants_Obso'!$U$2:$U$501="&lt; 6 mois"))+SUMPRODUCT(--('02_Composants_Obso'!$D$2:$D$501=D21),--('02_Composants_Obso'!$G$2:$G$501=E21),--('02_Composants_Obso'!$U$2:$U$501="&lt; 12 mois")))</x:f>
      </x:c>
      <x:c r="I21" t="str">
        <x:f>IF(D21="","",IF(COUNTIFS('02_Composants_Obso'!$D$2:$D$501,D21,'02_Composants_Obso'!$G$2:$G$501,E21,'02_Composants_Obso'!$M$2:$M$501,"Critique")&gt;0,"Critique",IF(COUNTIFS('02_Composants_Obso'!$D$2:$D$501,D21,'02_Composants_Obso'!$G$2:$G$501,E21,'02_Composants_Obso'!$M$2:$M$501,"Élevé")&gt;0,"Élevé",IF(COUNTIFS('02_Composants_Obso'!$D$2:$D$501,D21,'02_Composants_Obso'!$G$2:$G$501,E21,'02_Composants_Obso'!$M$2:$M$501,"Moyen")&gt;0,"Moyen","Faible"))))</x:f>
      </x:c>
    </x:row>
    <x:row r="22">
      <x:c r="D22"/>
      <x:c r="E22"/>
      <x:c r="F22" t="str">
        <x:f>IF(OR(D22="",E22=""),"",COUNTIFS('02_Composants_Obso'!$D$2:$D$501,D22,'02_Composants_Obso'!$G$2:$G$501,E22,'02_Composants_Obso'!$B$2:$B$501,"&lt;&gt;"))</x:f>
      </x:c>
      <x:c r="G22" t="str">
        <x:f>IF(D22="","",COUNTIFS('02_Composants_Obso'!$D$2:$D$501,D22,'02_Composants_Obso'!$G$2:$G$501,E22,'02_Composants_Obso'!$U$2:$U$501,"EOL dépassée"))</x:f>
      </x:c>
      <x:c r="H22" t="str">
        <x:f>IF(D22="","",SUMPRODUCT(--('02_Composants_Obso'!$D$2:$D$501=D22),--('02_Composants_Obso'!$G$2:$G$501=E22),--('02_Composants_Obso'!$U$2:$U$501="&lt; 6 mois"))+SUMPRODUCT(--('02_Composants_Obso'!$D$2:$D$501=D22),--('02_Composants_Obso'!$G$2:$G$501=E22),--('02_Composants_Obso'!$U$2:$U$501="&lt; 12 mois")))</x:f>
      </x:c>
      <x:c r="I22" t="str">
        <x:f>IF(D22="","",IF(COUNTIFS('02_Composants_Obso'!$D$2:$D$501,D22,'02_Composants_Obso'!$G$2:$G$501,E22,'02_Composants_Obso'!$M$2:$M$501,"Critique")&gt;0,"Critique",IF(COUNTIFS('02_Composants_Obso'!$D$2:$D$501,D22,'02_Composants_Obso'!$G$2:$G$501,E22,'02_Composants_Obso'!$M$2:$M$501,"Élevé")&gt;0,"Élevé",IF(COUNTIFS('02_Composants_Obso'!$D$2:$D$501,D22,'02_Composants_Obso'!$G$2:$G$501,E22,'02_Composants_Obso'!$M$2:$M$501,"Moyen")&gt;0,"Moyen","Faible"))))</x:f>
      </x:c>
    </x:row>
    <x:row r="23">
      <x:c r="D23"/>
      <x:c r="E23"/>
      <x:c r="F23" t="str">
        <x:f>IF(OR(D23="",E23=""),"",COUNTIFS('02_Composants_Obso'!$D$2:$D$501,D23,'02_Composants_Obso'!$G$2:$G$501,E23,'02_Composants_Obso'!$B$2:$B$501,"&lt;&gt;"))</x:f>
      </x:c>
      <x:c r="G23" t="str">
        <x:f>IF(D23="","",COUNTIFS('02_Composants_Obso'!$D$2:$D$501,D23,'02_Composants_Obso'!$G$2:$G$501,E23,'02_Composants_Obso'!$U$2:$U$501,"EOL dépassée"))</x:f>
      </x:c>
      <x:c r="H23" t="str">
        <x:f>IF(D23="","",SUMPRODUCT(--('02_Composants_Obso'!$D$2:$D$501=D23),--('02_Composants_Obso'!$G$2:$G$501=E23),--('02_Composants_Obso'!$U$2:$U$501="&lt; 6 mois"))+SUMPRODUCT(--('02_Composants_Obso'!$D$2:$D$501=D23),--('02_Composants_Obso'!$G$2:$G$501=E23),--('02_Composants_Obso'!$U$2:$U$501="&lt; 12 mois")))</x:f>
      </x:c>
      <x:c r="I23" t="str">
        <x:f>IF(D23="","",IF(COUNTIFS('02_Composants_Obso'!$D$2:$D$501,D23,'02_Composants_Obso'!$G$2:$G$501,E23,'02_Composants_Obso'!$M$2:$M$501,"Critique")&gt;0,"Critique",IF(COUNTIFS('02_Composants_Obso'!$D$2:$D$501,D23,'02_Composants_Obso'!$G$2:$G$501,E23,'02_Composants_Obso'!$M$2:$M$501,"Élevé")&gt;0,"Élevé",IF(COUNTIFS('02_Composants_Obso'!$D$2:$D$501,D23,'02_Composants_Obso'!$G$2:$G$501,E23,'02_Composants_Obso'!$M$2:$M$501,"Moyen")&gt;0,"Moyen","Faible"))))</x:f>
      </x:c>
    </x:row>
    <x:row r="24">
      <x:c r="D24"/>
      <x:c r="E24"/>
      <x:c r="F24" t="str">
        <x:f>IF(OR(D24="",E24=""),"",COUNTIFS('02_Composants_Obso'!$D$2:$D$501,D24,'02_Composants_Obso'!$G$2:$G$501,E24,'02_Composants_Obso'!$B$2:$B$501,"&lt;&gt;"))</x:f>
      </x:c>
      <x:c r="G24" t="str">
        <x:f>IF(D24="","",COUNTIFS('02_Composants_Obso'!$D$2:$D$501,D24,'02_Composants_Obso'!$G$2:$G$501,E24,'02_Composants_Obso'!$U$2:$U$501,"EOL dépassée"))</x:f>
      </x:c>
      <x:c r="H24" t="str">
        <x:f>IF(D24="","",SUMPRODUCT(--('02_Composants_Obso'!$D$2:$D$501=D24),--('02_Composants_Obso'!$G$2:$G$501=E24),--('02_Composants_Obso'!$U$2:$U$501="&lt; 6 mois"))+SUMPRODUCT(--('02_Composants_Obso'!$D$2:$D$501=D24),--('02_Composants_Obso'!$G$2:$G$501=E24),--('02_Composants_Obso'!$U$2:$U$501="&lt; 12 mois")))</x:f>
      </x:c>
      <x:c r="I24" t="str">
        <x:f>IF(D24="","",IF(COUNTIFS('02_Composants_Obso'!$D$2:$D$501,D24,'02_Composants_Obso'!$G$2:$G$501,E24,'02_Composants_Obso'!$M$2:$M$501,"Critique")&gt;0,"Critique",IF(COUNTIFS('02_Composants_Obso'!$D$2:$D$501,D24,'02_Composants_Obso'!$G$2:$G$501,E24,'02_Composants_Obso'!$M$2:$M$501,"Élevé")&gt;0,"Élevé",IF(COUNTIFS('02_Composants_Obso'!$D$2:$D$501,D24,'02_Composants_Obso'!$G$2:$G$501,E24,'02_Composants_Obso'!$M$2:$M$501,"Moyen")&gt;0,"Moyen","Faible"))))</x:f>
      </x:c>
    </x:row>
    <x:row r="25">
      <x:c r="D25"/>
      <x:c r="E25"/>
      <x:c r="F25" t="str">
        <x:f>IF(OR(D25="",E25=""),"",COUNTIFS('02_Composants_Obso'!$D$2:$D$501,D25,'02_Composants_Obso'!$G$2:$G$501,E25,'02_Composants_Obso'!$B$2:$B$501,"&lt;&gt;"))</x:f>
      </x:c>
      <x:c r="G25" t="str">
        <x:f>IF(D25="","",COUNTIFS('02_Composants_Obso'!$D$2:$D$501,D25,'02_Composants_Obso'!$G$2:$G$501,E25,'02_Composants_Obso'!$U$2:$U$501,"EOL dépassée"))</x:f>
      </x:c>
      <x:c r="H25" t="str">
        <x:f>IF(D25="","",SUMPRODUCT(--('02_Composants_Obso'!$D$2:$D$501=D25),--('02_Composants_Obso'!$G$2:$G$501=E25),--('02_Composants_Obso'!$U$2:$U$501="&lt; 6 mois"))+SUMPRODUCT(--('02_Composants_Obso'!$D$2:$D$501=D25),--('02_Composants_Obso'!$G$2:$G$501=E25),--('02_Composants_Obso'!$U$2:$U$501="&lt; 12 mois")))</x:f>
      </x:c>
      <x:c r="I25" t="str">
        <x:f>IF(D25="","",IF(COUNTIFS('02_Composants_Obso'!$D$2:$D$501,D25,'02_Composants_Obso'!$G$2:$G$501,E25,'02_Composants_Obso'!$M$2:$M$501,"Critique")&gt;0,"Critique",IF(COUNTIFS('02_Composants_Obso'!$D$2:$D$501,D25,'02_Composants_Obso'!$G$2:$G$501,E25,'02_Composants_Obso'!$M$2:$M$501,"Élevé")&gt;0,"Élevé",IF(COUNTIFS('02_Composants_Obso'!$D$2:$D$501,D25,'02_Composants_Obso'!$G$2:$G$501,E25,'02_Composants_Obso'!$M$2:$M$501,"Moyen")&gt;0,"Moyen","Faible"))))</x:f>
      </x:c>
    </x:row>
    <x:row r="26">
      <x:c r="D26"/>
      <x:c r="E26"/>
      <x:c r="F26" t="str">
        <x:f>IF(OR(D26="",E26=""),"",COUNTIFS('02_Composants_Obso'!$D$2:$D$501,D26,'02_Composants_Obso'!$G$2:$G$501,E26,'02_Composants_Obso'!$B$2:$B$501,"&lt;&gt;"))</x:f>
      </x:c>
      <x:c r="G26" t="str">
        <x:f>IF(D26="","",COUNTIFS('02_Composants_Obso'!$D$2:$D$501,D26,'02_Composants_Obso'!$G$2:$G$501,E26,'02_Composants_Obso'!$U$2:$U$501,"EOL dépassée"))</x:f>
      </x:c>
      <x:c r="H26" t="str">
        <x:f>IF(D26="","",SUMPRODUCT(--('02_Composants_Obso'!$D$2:$D$501=D26),--('02_Composants_Obso'!$G$2:$G$501=E26),--('02_Composants_Obso'!$U$2:$U$501="&lt; 6 mois"))+SUMPRODUCT(--('02_Composants_Obso'!$D$2:$D$501=D26),--('02_Composants_Obso'!$G$2:$G$501=E26),--('02_Composants_Obso'!$U$2:$U$501="&lt; 12 mois")))</x:f>
      </x:c>
      <x:c r="I26" t="str">
        <x:f>IF(D26="","",IF(COUNTIFS('02_Composants_Obso'!$D$2:$D$501,D26,'02_Composants_Obso'!$G$2:$G$501,E26,'02_Composants_Obso'!$M$2:$M$501,"Critique")&gt;0,"Critique",IF(COUNTIFS('02_Composants_Obso'!$D$2:$D$501,D26,'02_Composants_Obso'!$G$2:$G$501,E26,'02_Composants_Obso'!$M$2:$M$501,"Élevé")&gt;0,"Élevé",IF(COUNTIFS('02_Composants_Obso'!$D$2:$D$501,D26,'02_Composants_Obso'!$G$2:$G$501,E26,'02_Composants_Obso'!$M$2:$M$501,"Moyen")&gt;0,"Moyen","Faible"))))</x:f>
      </x:c>
    </x:row>
    <x:row r="27">
      <x:c r="D27"/>
      <x:c r="E27"/>
      <x:c r="F27" t="str">
        <x:f>IF(OR(D27="",E27=""),"",COUNTIFS('02_Composants_Obso'!$D$2:$D$501,D27,'02_Composants_Obso'!$G$2:$G$501,E27,'02_Composants_Obso'!$B$2:$B$501,"&lt;&gt;"))</x:f>
      </x:c>
      <x:c r="G27" t="str">
        <x:f>IF(D27="","",COUNTIFS('02_Composants_Obso'!$D$2:$D$501,D27,'02_Composants_Obso'!$G$2:$G$501,E27,'02_Composants_Obso'!$U$2:$U$501,"EOL dépassée"))</x:f>
      </x:c>
      <x:c r="H27" t="str">
        <x:f>IF(D27="","",SUMPRODUCT(--('02_Composants_Obso'!$D$2:$D$501=D27),--('02_Composants_Obso'!$G$2:$G$501=E27),--('02_Composants_Obso'!$U$2:$U$501="&lt; 6 mois"))+SUMPRODUCT(--('02_Composants_Obso'!$D$2:$D$501=D27),--('02_Composants_Obso'!$G$2:$G$501=E27),--('02_Composants_Obso'!$U$2:$U$501="&lt; 12 mois")))</x:f>
      </x:c>
      <x:c r="I27" t="str">
        <x:f>IF(D27="","",IF(COUNTIFS('02_Composants_Obso'!$D$2:$D$501,D27,'02_Composants_Obso'!$G$2:$G$501,E27,'02_Composants_Obso'!$M$2:$M$501,"Critique")&gt;0,"Critique",IF(COUNTIFS('02_Composants_Obso'!$D$2:$D$501,D27,'02_Composants_Obso'!$G$2:$G$501,E27,'02_Composants_Obso'!$M$2:$M$501,"Élevé")&gt;0,"Élevé",IF(COUNTIFS('02_Composants_Obso'!$D$2:$D$501,D27,'02_Composants_Obso'!$G$2:$G$501,E27,'02_Composants_Obso'!$M$2:$M$501,"Moyen")&gt;0,"Moyen","Faible"))))</x:f>
      </x:c>
    </x:row>
    <x:row r="28">
      <x:c r="D28"/>
      <x:c r="E28"/>
      <x:c r="F28" t="str">
        <x:f>IF(OR(D28="",E28=""),"",COUNTIFS('02_Composants_Obso'!$D$2:$D$501,D28,'02_Composants_Obso'!$G$2:$G$501,E28,'02_Composants_Obso'!$B$2:$B$501,"&lt;&gt;"))</x:f>
      </x:c>
      <x:c r="G28" t="str">
        <x:f>IF(D28="","",COUNTIFS('02_Composants_Obso'!$D$2:$D$501,D28,'02_Composants_Obso'!$G$2:$G$501,E28,'02_Composants_Obso'!$U$2:$U$501,"EOL dépassée"))</x:f>
      </x:c>
      <x:c r="H28" t="str">
        <x:f>IF(D28="","",SUMPRODUCT(--('02_Composants_Obso'!$D$2:$D$501=D28),--('02_Composants_Obso'!$G$2:$G$501=E28),--('02_Composants_Obso'!$U$2:$U$501="&lt; 6 mois"))+SUMPRODUCT(--('02_Composants_Obso'!$D$2:$D$501=D28),--('02_Composants_Obso'!$G$2:$G$501=E28),--('02_Composants_Obso'!$U$2:$U$501="&lt; 12 mois")))</x:f>
      </x:c>
      <x:c r="I28" t="str">
        <x:f>IF(D28="","",IF(COUNTIFS('02_Composants_Obso'!$D$2:$D$501,D28,'02_Composants_Obso'!$G$2:$G$501,E28,'02_Composants_Obso'!$M$2:$M$501,"Critique")&gt;0,"Critique",IF(COUNTIFS('02_Composants_Obso'!$D$2:$D$501,D28,'02_Composants_Obso'!$G$2:$G$501,E28,'02_Composants_Obso'!$M$2:$M$501,"Élevé")&gt;0,"Élevé",IF(COUNTIFS('02_Composants_Obso'!$D$2:$D$501,D28,'02_Composants_Obso'!$G$2:$G$501,E28,'02_Composants_Obso'!$M$2:$M$501,"Moyen")&gt;0,"Moyen","Faible"))))</x:f>
      </x:c>
    </x:row>
    <x:row r="29">
      <x:c r="D29"/>
      <x:c r="E29"/>
      <x:c r="F29" t="str">
        <x:f>IF(OR(D29="",E29=""),"",COUNTIFS('02_Composants_Obso'!$D$2:$D$501,D29,'02_Composants_Obso'!$G$2:$G$501,E29,'02_Composants_Obso'!$B$2:$B$501,"&lt;&gt;"))</x:f>
      </x:c>
      <x:c r="G29" t="str">
        <x:f>IF(D29="","",COUNTIFS('02_Composants_Obso'!$D$2:$D$501,D29,'02_Composants_Obso'!$G$2:$G$501,E29,'02_Composants_Obso'!$U$2:$U$501,"EOL dépassée"))</x:f>
      </x:c>
      <x:c r="H29" t="str">
        <x:f>IF(D29="","",SUMPRODUCT(--('02_Composants_Obso'!$D$2:$D$501=D29),--('02_Composants_Obso'!$G$2:$G$501=E29),--('02_Composants_Obso'!$U$2:$U$501="&lt; 6 mois"))+SUMPRODUCT(--('02_Composants_Obso'!$D$2:$D$501=D29),--('02_Composants_Obso'!$G$2:$G$501=E29),--('02_Composants_Obso'!$U$2:$U$501="&lt; 12 mois")))</x:f>
      </x:c>
      <x:c r="I29" t="str">
        <x:f>IF(D29="","",IF(COUNTIFS('02_Composants_Obso'!$D$2:$D$501,D29,'02_Composants_Obso'!$G$2:$G$501,E29,'02_Composants_Obso'!$M$2:$M$501,"Critique")&gt;0,"Critique",IF(COUNTIFS('02_Composants_Obso'!$D$2:$D$501,D29,'02_Composants_Obso'!$G$2:$G$501,E29,'02_Composants_Obso'!$M$2:$M$501,"Élevé")&gt;0,"Élevé",IF(COUNTIFS('02_Composants_Obso'!$D$2:$D$501,D29,'02_Composants_Obso'!$G$2:$G$501,E29,'02_Composants_Obso'!$M$2:$M$501,"Moyen")&gt;0,"Moyen","Faible"))))</x:f>
      </x:c>
    </x:row>
    <x:row r="30">
      <x:c r="D30"/>
      <x:c r="E30"/>
      <x:c r="F30" t="str">
        <x:f>IF(OR(D30="",E30=""),"",COUNTIFS('02_Composants_Obso'!$D$2:$D$501,D30,'02_Composants_Obso'!$G$2:$G$501,E30,'02_Composants_Obso'!$B$2:$B$501,"&lt;&gt;"))</x:f>
      </x:c>
      <x:c r="G30" t="str">
        <x:f>IF(D30="","",COUNTIFS('02_Composants_Obso'!$D$2:$D$501,D30,'02_Composants_Obso'!$G$2:$G$501,E30,'02_Composants_Obso'!$U$2:$U$501,"EOL dépassée"))</x:f>
      </x:c>
      <x:c r="H30" t="str">
        <x:f>IF(D30="","",SUMPRODUCT(--('02_Composants_Obso'!$D$2:$D$501=D30),--('02_Composants_Obso'!$G$2:$G$501=E30),--('02_Composants_Obso'!$U$2:$U$501="&lt; 6 mois"))+SUMPRODUCT(--('02_Composants_Obso'!$D$2:$D$501=D30),--('02_Composants_Obso'!$G$2:$G$501=E30),--('02_Composants_Obso'!$U$2:$U$501="&lt; 12 mois")))</x:f>
      </x:c>
      <x:c r="I30" t="str">
        <x:f>IF(D30="","",IF(COUNTIFS('02_Composants_Obso'!$D$2:$D$501,D30,'02_Composants_Obso'!$G$2:$G$501,E30,'02_Composants_Obso'!$M$2:$M$501,"Critique")&gt;0,"Critique",IF(COUNTIFS('02_Composants_Obso'!$D$2:$D$501,D30,'02_Composants_Obso'!$G$2:$G$501,E30,'02_Composants_Obso'!$M$2:$M$501,"Élevé")&gt;0,"Élevé",IF(COUNTIFS('02_Composants_Obso'!$D$2:$D$501,D30,'02_Composants_Obso'!$G$2:$G$501,E30,'02_Composants_Obso'!$M$2:$M$501,"Moyen")&gt;0,"Moyen","Faible"))))</x:f>
      </x:c>
    </x:row>
    <x:row r="31">
      <x:c r="D31"/>
      <x:c r="E31"/>
      <x:c r="F31" t="str">
        <x:f>IF(OR(D31="",E31=""),"",COUNTIFS('02_Composants_Obso'!$D$2:$D$501,D31,'02_Composants_Obso'!$G$2:$G$501,E31,'02_Composants_Obso'!$B$2:$B$501,"&lt;&gt;"))</x:f>
      </x:c>
      <x:c r="G31" t="str">
        <x:f>IF(D31="","",COUNTIFS('02_Composants_Obso'!$D$2:$D$501,D31,'02_Composants_Obso'!$G$2:$G$501,E31,'02_Composants_Obso'!$U$2:$U$501,"EOL dépassée"))</x:f>
      </x:c>
      <x:c r="H31" t="str">
        <x:f>IF(D31="","",SUMPRODUCT(--('02_Composants_Obso'!$D$2:$D$501=D31),--('02_Composants_Obso'!$G$2:$G$501=E31),--('02_Composants_Obso'!$U$2:$U$501="&lt; 6 mois"))+SUMPRODUCT(--('02_Composants_Obso'!$D$2:$D$501=D31),--('02_Composants_Obso'!$G$2:$G$501=E31),--('02_Composants_Obso'!$U$2:$U$501="&lt; 12 mois")))</x:f>
      </x:c>
      <x:c r="I31" t="str">
        <x:f>IF(D31="","",IF(COUNTIFS('02_Composants_Obso'!$D$2:$D$501,D31,'02_Composants_Obso'!$G$2:$G$501,E31,'02_Composants_Obso'!$M$2:$M$501,"Critique")&gt;0,"Critique",IF(COUNTIFS('02_Composants_Obso'!$D$2:$D$501,D31,'02_Composants_Obso'!$G$2:$G$501,E31,'02_Composants_Obso'!$M$2:$M$501,"Élevé")&gt;0,"Élevé",IF(COUNTIFS('02_Composants_Obso'!$D$2:$D$501,D31,'02_Composants_Obso'!$G$2:$G$501,E31,'02_Composants_Obso'!$M$2:$M$501,"Moyen")&gt;0,"Moyen","Faible"))))</x:f>
      </x:c>
    </x:row>
    <x:row r="32">
      <x:c r="D32"/>
      <x:c r="E32"/>
      <x:c r="F32" t="str">
        <x:f>IF(OR(D32="",E32=""),"",COUNTIFS('02_Composants_Obso'!$D$2:$D$501,D32,'02_Composants_Obso'!$G$2:$G$501,E32,'02_Composants_Obso'!$B$2:$B$501,"&lt;&gt;"))</x:f>
      </x:c>
      <x:c r="G32" t="str">
        <x:f>IF(D32="","",COUNTIFS('02_Composants_Obso'!$D$2:$D$501,D32,'02_Composants_Obso'!$G$2:$G$501,E32,'02_Composants_Obso'!$U$2:$U$501,"EOL dépassée"))</x:f>
      </x:c>
      <x:c r="H32" t="str">
        <x:f>IF(D32="","",SUMPRODUCT(--('02_Composants_Obso'!$D$2:$D$501=D32),--('02_Composants_Obso'!$G$2:$G$501=E32),--('02_Composants_Obso'!$U$2:$U$501="&lt; 6 mois"))+SUMPRODUCT(--('02_Composants_Obso'!$D$2:$D$501=D32),--('02_Composants_Obso'!$G$2:$G$501=E32),--('02_Composants_Obso'!$U$2:$U$501="&lt; 12 mois")))</x:f>
      </x:c>
      <x:c r="I32" t="str">
        <x:f>IF(D32="","",IF(COUNTIFS('02_Composants_Obso'!$D$2:$D$501,D32,'02_Composants_Obso'!$G$2:$G$501,E32,'02_Composants_Obso'!$M$2:$M$501,"Critique")&gt;0,"Critique",IF(COUNTIFS('02_Composants_Obso'!$D$2:$D$501,D32,'02_Composants_Obso'!$G$2:$G$501,E32,'02_Composants_Obso'!$M$2:$M$501,"Élevé")&gt;0,"Élevé",IF(COUNTIFS('02_Composants_Obso'!$D$2:$D$501,D32,'02_Composants_Obso'!$G$2:$G$501,E32,'02_Composants_Obso'!$M$2:$M$501,"Moyen")&gt;0,"Moyen","Faible"))))</x:f>
      </x:c>
    </x:row>
    <x:row r="33">
      <x:c r="D33"/>
      <x:c r="E33"/>
      <x:c r="F33" t="str">
        <x:f>IF(OR(D33="",E33=""),"",COUNTIFS('02_Composants_Obso'!$D$2:$D$501,D33,'02_Composants_Obso'!$G$2:$G$501,E33,'02_Composants_Obso'!$B$2:$B$501,"&lt;&gt;"))</x:f>
      </x:c>
      <x:c r="G33" t="str">
        <x:f>IF(D33="","",COUNTIFS('02_Composants_Obso'!$D$2:$D$501,D33,'02_Composants_Obso'!$G$2:$G$501,E33,'02_Composants_Obso'!$U$2:$U$501,"EOL dépassée"))</x:f>
      </x:c>
      <x:c r="H33" t="str">
        <x:f>IF(D33="","",SUMPRODUCT(--('02_Composants_Obso'!$D$2:$D$501=D33),--('02_Composants_Obso'!$G$2:$G$501=E33),--('02_Composants_Obso'!$U$2:$U$501="&lt; 6 mois"))+SUMPRODUCT(--('02_Composants_Obso'!$D$2:$D$501=D33),--('02_Composants_Obso'!$G$2:$G$501=E33),--('02_Composants_Obso'!$U$2:$U$501="&lt; 12 mois")))</x:f>
      </x:c>
      <x:c r="I33" t="str">
        <x:f>IF(D33="","",IF(COUNTIFS('02_Composants_Obso'!$D$2:$D$501,D33,'02_Composants_Obso'!$G$2:$G$501,E33,'02_Composants_Obso'!$M$2:$M$501,"Critique")&gt;0,"Critique",IF(COUNTIFS('02_Composants_Obso'!$D$2:$D$501,D33,'02_Composants_Obso'!$G$2:$G$501,E33,'02_Composants_Obso'!$M$2:$M$501,"Élevé")&gt;0,"Élevé",IF(COUNTIFS('02_Composants_Obso'!$D$2:$D$501,D33,'02_Composants_Obso'!$G$2:$G$501,E33,'02_Composants_Obso'!$M$2:$M$501,"Moyen")&gt;0,"Moyen","Faible"))))</x:f>
      </x:c>
    </x:row>
    <x:row r="34">
      <x:c r="D34"/>
      <x:c r="E34"/>
      <x:c r="F34" t="str">
        <x:f>IF(OR(D34="",E34=""),"",COUNTIFS('02_Composants_Obso'!$D$2:$D$501,D34,'02_Composants_Obso'!$G$2:$G$501,E34,'02_Composants_Obso'!$B$2:$B$501,"&lt;&gt;"))</x:f>
      </x:c>
      <x:c r="G34" t="str">
        <x:f>IF(D34="","",COUNTIFS('02_Composants_Obso'!$D$2:$D$501,D34,'02_Composants_Obso'!$G$2:$G$501,E34,'02_Composants_Obso'!$U$2:$U$501,"EOL dépassée"))</x:f>
      </x:c>
      <x:c r="H34" t="str">
        <x:f>IF(D34="","",SUMPRODUCT(--('02_Composants_Obso'!$D$2:$D$501=D34),--('02_Composants_Obso'!$G$2:$G$501=E34),--('02_Composants_Obso'!$U$2:$U$501="&lt; 6 mois"))+SUMPRODUCT(--('02_Composants_Obso'!$D$2:$D$501=D34),--('02_Composants_Obso'!$G$2:$G$501=E34),--('02_Composants_Obso'!$U$2:$U$501="&lt; 12 mois")))</x:f>
      </x:c>
      <x:c r="I34" t="str">
        <x:f>IF(D34="","",IF(COUNTIFS('02_Composants_Obso'!$D$2:$D$501,D34,'02_Composants_Obso'!$G$2:$G$501,E34,'02_Composants_Obso'!$M$2:$M$501,"Critique")&gt;0,"Critique",IF(COUNTIFS('02_Composants_Obso'!$D$2:$D$501,D34,'02_Composants_Obso'!$G$2:$G$501,E34,'02_Composants_Obso'!$M$2:$M$501,"Élevé")&gt;0,"Élevé",IF(COUNTIFS('02_Composants_Obso'!$D$2:$D$501,D34,'02_Composants_Obso'!$G$2:$G$501,E34,'02_Composants_Obso'!$M$2:$M$501,"Moyen")&gt;0,"Moyen","Faible"))))</x:f>
      </x:c>
    </x:row>
    <x:row r="35">
      <x:c r="D35"/>
      <x:c r="E35"/>
      <x:c r="F35" t="str">
        <x:f>IF(OR(D35="",E35=""),"",COUNTIFS('02_Composants_Obso'!$D$2:$D$501,D35,'02_Composants_Obso'!$G$2:$G$501,E35,'02_Composants_Obso'!$B$2:$B$501,"&lt;&gt;"))</x:f>
      </x:c>
      <x:c r="G35" t="str">
        <x:f>IF(D35="","",COUNTIFS('02_Composants_Obso'!$D$2:$D$501,D35,'02_Composants_Obso'!$G$2:$G$501,E35,'02_Composants_Obso'!$U$2:$U$501,"EOL dépassée"))</x:f>
      </x:c>
      <x:c r="H35" t="str">
        <x:f>IF(D35="","",SUMPRODUCT(--('02_Composants_Obso'!$D$2:$D$501=D35),--('02_Composants_Obso'!$G$2:$G$501=E35),--('02_Composants_Obso'!$U$2:$U$501="&lt; 6 mois"))+SUMPRODUCT(--('02_Composants_Obso'!$D$2:$D$501=D35),--('02_Composants_Obso'!$G$2:$G$501=E35),--('02_Composants_Obso'!$U$2:$U$501="&lt; 12 mois")))</x:f>
      </x:c>
      <x:c r="I35" t="str">
        <x:f>IF(D35="","",IF(COUNTIFS('02_Composants_Obso'!$D$2:$D$501,D35,'02_Composants_Obso'!$G$2:$G$501,E35,'02_Composants_Obso'!$M$2:$M$501,"Critique")&gt;0,"Critique",IF(COUNTIFS('02_Composants_Obso'!$D$2:$D$501,D35,'02_Composants_Obso'!$G$2:$G$501,E35,'02_Composants_Obso'!$M$2:$M$501,"Élevé")&gt;0,"Élevé",IF(COUNTIFS('02_Composants_Obso'!$D$2:$D$501,D35,'02_Composants_Obso'!$G$2:$G$501,E35,'02_Composants_Obso'!$M$2:$M$501,"Moyen")&gt;0,"Moyen","Faible"))))</x:f>
      </x:c>
    </x:row>
    <x:row r="36">
      <x:c r="D36"/>
      <x:c r="E36"/>
      <x:c r="F36" t="str">
        <x:f>IF(OR(D36="",E36=""),"",COUNTIFS('02_Composants_Obso'!$D$2:$D$501,D36,'02_Composants_Obso'!$G$2:$G$501,E36,'02_Composants_Obso'!$B$2:$B$501,"&lt;&gt;"))</x:f>
      </x:c>
      <x:c r="G36" t="str">
        <x:f>IF(D36="","",COUNTIFS('02_Composants_Obso'!$D$2:$D$501,D36,'02_Composants_Obso'!$G$2:$G$501,E36,'02_Composants_Obso'!$U$2:$U$501,"EOL dépassée"))</x:f>
      </x:c>
      <x:c r="H36" t="str">
        <x:f>IF(D36="","",SUMPRODUCT(--('02_Composants_Obso'!$D$2:$D$501=D36),--('02_Composants_Obso'!$G$2:$G$501=E36),--('02_Composants_Obso'!$U$2:$U$501="&lt; 6 mois"))+SUMPRODUCT(--('02_Composants_Obso'!$D$2:$D$501=D36),--('02_Composants_Obso'!$G$2:$G$501=E36),--('02_Composants_Obso'!$U$2:$U$501="&lt; 12 mois")))</x:f>
      </x:c>
      <x:c r="I36" t="str">
        <x:f>IF(D36="","",IF(COUNTIFS('02_Composants_Obso'!$D$2:$D$501,D36,'02_Composants_Obso'!$G$2:$G$501,E36,'02_Composants_Obso'!$M$2:$M$501,"Critique")&gt;0,"Critique",IF(COUNTIFS('02_Composants_Obso'!$D$2:$D$501,D36,'02_Composants_Obso'!$G$2:$G$501,E36,'02_Composants_Obso'!$M$2:$M$501,"Élevé")&gt;0,"Élevé",IF(COUNTIFS('02_Composants_Obso'!$D$2:$D$501,D36,'02_Composants_Obso'!$G$2:$G$501,E36,'02_Composants_Obso'!$M$2:$M$501,"Moyen")&gt;0,"Moyen","Faible"))))</x:f>
      </x:c>
    </x:row>
    <x:row r="37">
      <x:c r="D37"/>
      <x:c r="E37"/>
      <x:c r="F37" t="str">
        <x:f>IF(OR(D37="",E37=""),"",COUNTIFS('02_Composants_Obso'!$D$2:$D$501,D37,'02_Composants_Obso'!$G$2:$G$501,E37,'02_Composants_Obso'!$B$2:$B$501,"&lt;&gt;"))</x:f>
      </x:c>
      <x:c r="G37" t="str">
        <x:f>IF(D37="","",COUNTIFS('02_Composants_Obso'!$D$2:$D$501,D37,'02_Composants_Obso'!$G$2:$G$501,E37,'02_Composants_Obso'!$U$2:$U$501,"EOL dépassée"))</x:f>
      </x:c>
      <x:c r="H37" t="str">
        <x:f>IF(D37="","",SUMPRODUCT(--('02_Composants_Obso'!$D$2:$D$501=D37),--('02_Composants_Obso'!$G$2:$G$501=E37),--('02_Composants_Obso'!$U$2:$U$501="&lt; 6 mois"))+SUMPRODUCT(--('02_Composants_Obso'!$D$2:$D$501=D37),--('02_Composants_Obso'!$G$2:$G$501=E37),--('02_Composants_Obso'!$U$2:$U$501="&lt; 12 mois")))</x:f>
      </x:c>
      <x:c r="I37" t="str">
        <x:f>IF(D37="","",IF(COUNTIFS('02_Composants_Obso'!$D$2:$D$501,D37,'02_Composants_Obso'!$G$2:$G$501,E37,'02_Composants_Obso'!$M$2:$M$501,"Critique")&gt;0,"Critique",IF(COUNTIFS('02_Composants_Obso'!$D$2:$D$501,D37,'02_Composants_Obso'!$G$2:$G$501,E37,'02_Composants_Obso'!$M$2:$M$501,"Élevé")&gt;0,"Élevé",IF(COUNTIFS('02_Composants_Obso'!$D$2:$D$501,D37,'02_Composants_Obso'!$G$2:$G$501,E37,'02_Composants_Obso'!$M$2:$M$501,"Moyen")&gt;0,"Moyen","Faible"))))</x:f>
      </x:c>
    </x:row>
    <x:row r="38">
      <x:c r="D38"/>
      <x:c r="E38"/>
      <x:c r="F38" t="str">
        <x:f>IF(OR(D38="",E38=""),"",COUNTIFS('02_Composants_Obso'!$D$2:$D$501,D38,'02_Composants_Obso'!$G$2:$G$501,E38,'02_Composants_Obso'!$B$2:$B$501,"&lt;&gt;"))</x:f>
      </x:c>
      <x:c r="G38" t="str">
        <x:f>IF(D38="","",COUNTIFS('02_Composants_Obso'!$D$2:$D$501,D38,'02_Composants_Obso'!$G$2:$G$501,E38,'02_Composants_Obso'!$U$2:$U$501,"EOL dépassée"))</x:f>
      </x:c>
      <x:c r="H38" t="str">
        <x:f>IF(D38="","",SUMPRODUCT(--('02_Composants_Obso'!$D$2:$D$501=D38),--('02_Composants_Obso'!$G$2:$G$501=E38),--('02_Composants_Obso'!$U$2:$U$501="&lt; 6 mois"))+SUMPRODUCT(--('02_Composants_Obso'!$D$2:$D$501=D38),--('02_Composants_Obso'!$G$2:$G$501=E38),--('02_Composants_Obso'!$U$2:$U$501="&lt; 12 mois")))</x:f>
      </x:c>
      <x:c r="I38" t="str">
        <x:f>IF(D38="","",IF(COUNTIFS('02_Composants_Obso'!$D$2:$D$501,D38,'02_Composants_Obso'!$G$2:$G$501,E38,'02_Composants_Obso'!$M$2:$M$501,"Critique")&gt;0,"Critique",IF(COUNTIFS('02_Composants_Obso'!$D$2:$D$501,D38,'02_Composants_Obso'!$G$2:$G$501,E38,'02_Composants_Obso'!$M$2:$M$501,"Élevé")&gt;0,"Élevé",IF(COUNTIFS('02_Composants_Obso'!$D$2:$D$501,D38,'02_Composants_Obso'!$G$2:$G$501,E38,'02_Composants_Obso'!$M$2:$M$501,"Moyen")&gt;0,"Moyen","Faible"))))</x:f>
      </x:c>
    </x:row>
    <x:row r="39">
      <x:c r="D39"/>
      <x:c r="E39"/>
      <x:c r="F39" t="str">
        <x:f>IF(OR(D39="",E39=""),"",COUNTIFS('02_Composants_Obso'!$D$2:$D$501,D39,'02_Composants_Obso'!$G$2:$G$501,E39,'02_Composants_Obso'!$B$2:$B$501,"&lt;&gt;"))</x:f>
      </x:c>
      <x:c r="G39" t="str">
        <x:f>IF(D39="","",COUNTIFS('02_Composants_Obso'!$D$2:$D$501,D39,'02_Composants_Obso'!$G$2:$G$501,E39,'02_Composants_Obso'!$U$2:$U$501,"EOL dépassée"))</x:f>
      </x:c>
      <x:c r="H39" t="str">
        <x:f>IF(D39="","",SUMPRODUCT(--('02_Composants_Obso'!$D$2:$D$501=D39),--('02_Composants_Obso'!$G$2:$G$501=E39),--('02_Composants_Obso'!$U$2:$U$501="&lt; 6 mois"))+SUMPRODUCT(--('02_Composants_Obso'!$D$2:$D$501=D39),--('02_Composants_Obso'!$G$2:$G$501=E39),--('02_Composants_Obso'!$U$2:$U$501="&lt; 12 mois")))</x:f>
      </x:c>
      <x:c r="I39" t="str">
        <x:f>IF(D39="","",IF(COUNTIFS('02_Composants_Obso'!$D$2:$D$501,D39,'02_Composants_Obso'!$G$2:$G$501,E39,'02_Composants_Obso'!$M$2:$M$501,"Critique")&gt;0,"Critique",IF(COUNTIFS('02_Composants_Obso'!$D$2:$D$501,D39,'02_Composants_Obso'!$G$2:$G$501,E39,'02_Composants_Obso'!$M$2:$M$501,"Élevé")&gt;0,"Élevé",IF(COUNTIFS('02_Composants_Obso'!$D$2:$D$501,D39,'02_Composants_Obso'!$G$2:$G$501,E39,'02_Composants_Obso'!$M$2:$M$501,"Moyen")&gt;0,"Moyen","Faible"))))</x:f>
      </x:c>
    </x:row>
    <x:row r="40">
      <x:c r="D40"/>
      <x:c r="E40"/>
      <x:c r="F40" t="str">
        <x:f>IF(OR(D40="",E40=""),"",COUNTIFS('02_Composants_Obso'!$D$2:$D$501,D40,'02_Composants_Obso'!$G$2:$G$501,E40,'02_Composants_Obso'!$B$2:$B$501,"&lt;&gt;"))</x:f>
      </x:c>
      <x:c r="G40" t="str">
        <x:f>IF(D40="","",COUNTIFS('02_Composants_Obso'!$D$2:$D$501,D40,'02_Composants_Obso'!$G$2:$G$501,E40,'02_Composants_Obso'!$U$2:$U$501,"EOL dépassée"))</x:f>
      </x:c>
      <x:c r="H40" t="str">
        <x:f>IF(D40="","",SUMPRODUCT(--('02_Composants_Obso'!$D$2:$D$501=D40),--('02_Composants_Obso'!$G$2:$G$501=E40),--('02_Composants_Obso'!$U$2:$U$501="&lt; 6 mois"))+SUMPRODUCT(--('02_Composants_Obso'!$D$2:$D$501=D40),--('02_Composants_Obso'!$G$2:$G$501=E40),--('02_Composants_Obso'!$U$2:$U$501="&lt; 12 mois")))</x:f>
      </x:c>
      <x:c r="I40" t="str">
        <x:f>IF(D40="","",IF(COUNTIFS('02_Composants_Obso'!$D$2:$D$501,D40,'02_Composants_Obso'!$G$2:$G$501,E40,'02_Composants_Obso'!$M$2:$M$501,"Critique")&gt;0,"Critique",IF(COUNTIFS('02_Composants_Obso'!$D$2:$D$501,D40,'02_Composants_Obso'!$G$2:$G$501,E40,'02_Composants_Obso'!$M$2:$M$501,"Élevé")&gt;0,"Élevé",IF(COUNTIFS('02_Composants_Obso'!$D$2:$D$501,D40,'02_Composants_Obso'!$G$2:$G$501,E40,'02_Composants_Obso'!$M$2:$M$501,"Moyen")&gt;0,"Moyen","Faible"))))</x:f>
      </x:c>
    </x:row>
    <x:row r="41">
      <x:c r="D41"/>
      <x:c r="E41"/>
      <x:c r="F41" t="str">
        <x:f>IF(OR(D41="",E41=""),"",COUNTIFS('02_Composants_Obso'!$D$2:$D$501,D41,'02_Composants_Obso'!$G$2:$G$501,E41,'02_Composants_Obso'!$B$2:$B$501,"&lt;&gt;"))</x:f>
      </x:c>
      <x:c r="G41" t="str">
        <x:f>IF(D41="","",COUNTIFS('02_Composants_Obso'!$D$2:$D$501,D41,'02_Composants_Obso'!$G$2:$G$501,E41,'02_Composants_Obso'!$U$2:$U$501,"EOL dépassée"))</x:f>
      </x:c>
      <x:c r="H41" t="str">
        <x:f>IF(D41="","",SUMPRODUCT(--('02_Composants_Obso'!$D$2:$D$501=D41),--('02_Composants_Obso'!$G$2:$G$501=E41),--('02_Composants_Obso'!$U$2:$U$501="&lt; 6 mois"))+SUMPRODUCT(--('02_Composants_Obso'!$D$2:$D$501=D41),--('02_Composants_Obso'!$G$2:$G$501=E41),--('02_Composants_Obso'!$U$2:$U$501="&lt; 12 mois")))</x:f>
      </x:c>
      <x:c r="I41" t="str">
        <x:f>IF(D41="","",IF(COUNTIFS('02_Composants_Obso'!$D$2:$D$501,D41,'02_Composants_Obso'!$G$2:$G$501,E41,'02_Composants_Obso'!$M$2:$M$501,"Critique")&gt;0,"Critique",IF(COUNTIFS('02_Composants_Obso'!$D$2:$D$501,D41,'02_Composants_Obso'!$G$2:$G$501,E41,'02_Composants_Obso'!$M$2:$M$501,"Élevé")&gt;0,"Élevé",IF(COUNTIFS('02_Composants_Obso'!$D$2:$D$501,D41,'02_Composants_Obso'!$G$2:$G$501,E41,'02_Composants_Obso'!$M$2:$M$501,"Moyen")&gt;0,"Moyen","Faible"))))</x:f>
      </x:c>
    </x:row>
    <x:row r="42">
      <x:c r="D42"/>
      <x:c r="E42"/>
      <x:c r="F42" t="str">
        <x:f>IF(OR(D42="",E42=""),"",COUNTIFS('02_Composants_Obso'!$D$2:$D$501,D42,'02_Composants_Obso'!$G$2:$G$501,E42,'02_Composants_Obso'!$B$2:$B$501,"&lt;&gt;"))</x:f>
      </x:c>
      <x:c r="G42" t="str">
        <x:f>IF(D42="","",COUNTIFS('02_Composants_Obso'!$D$2:$D$501,D42,'02_Composants_Obso'!$G$2:$G$501,E42,'02_Composants_Obso'!$U$2:$U$501,"EOL dépassée"))</x:f>
      </x:c>
      <x:c r="H42" t="str">
        <x:f>IF(D42="","",SUMPRODUCT(--('02_Composants_Obso'!$D$2:$D$501=D42),--('02_Composants_Obso'!$G$2:$G$501=E42),--('02_Composants_Obso'!$U$2:$U$501="&lt; 6 mois"))+SUMPRODUCT(--('02_Composants_Obso'!$D$2:$D$501=D42),--('02_Composants_Obso'!$G$2:$G$501=E42),--('02_Composants_Obso'!$U$2:$U$501="&lt; 12 mois")))</x:f>
      </x:c>
      <x:c r="I42" t="str">
        <x:f>IF(D42="","",IF(COUNTIFS('02_Composants_Obso'!$D$2:$D$501,D42,'02_Composants_Obso'!$G$2:$G$501,E42,'02_Composants_Obso'!$M$2:$M$501,"Critique")&gt;0,"Critique",IF(COUNTIFS('02_Composants_Obso'!$D$2:$D$501,D42,'02_Composants_Obso'!$G$2:$G$501,E42,'02_Composants_Obso'!$M$2:$M$501,"Élevé")&gt;0,"Élevé",IF(COUNTIFS('02_Composants_Obso'!$D$2:$D$501,D42,'02_Composants_Obso'!$G$2:$G$501,E42,'02_Composants_Obso'!$M$2:$M$501,"Moyen")&gt;0,"Moyen","Faible"))))</x:f>
      </x:c>
    </x:row>
    <x:row r="43">
      <x:c r="D43"/>
      <x:c r="E43"/>
      <x:c r="F43" t="str">
        <x:f>IF(OR(D43="",E43=""),"",COUNTIFS('02_Composants_Obso'!$D$2:$D$501,D43,'02_Composants_Obso'!$G$2:$G$501,E43,'02_Composants_Obso'!$B$2:$B$501,"&lt;&gt;"))</x:f>
      </x:c>
      <x:c r="G43" t="str">
        <x:f>IF(D43="","",COUNTIFS('02_Composants_Obso'!$D$2:$D$501,D43,'02_Composants_Obso'!$G$2:$G$501,E43,'02_Composants_Obso'!$U$2:$U$501,"EOL dépassée"))</x:f>
      </x:c>
      <x:c r="H43" t="str">
        <x:f>IF(D43="","",SUMPRODUCT(--('02_Composants_Obso'!$D$2:$D$501=D43),--('02_Composants_Obso'!$G$2:$G$501=E43),--('02_Composants_Obso'!$U$2:$U$501="&lt; 6 mois"))+SUMPRODUCT(--('02_Composants_Obso'!$D$2:$D$501=D43),--('02_Composants_Obso'!$G$2:$G$501=E43),--('02_Composants_Obso'!$U$2:$U$501="&lt; 12 mois")))</x:f>
      </x:c>
      <x:c r="I43" t="str">
        <x:f>IF(D43="","",IF(COUNTIFS('02_Composants_Obso'!$D$2:$D$501,D43,'02_Composants_Obso'!$G$2:$G$501,E43,'02_Composants_Obso'!$M$2:$M$501,"Critique")&gt;0,"Critique",IF(COUNTIFS('02_Composants_Obso'!$D$2:$D$501,D43,'02_Composants_Obso'!$G$2:$G$501,E43,'02_Composants_Obso'!$M$2:$M$501,"Élevé")&gt;0,"Élevé",IF(COUNTIFS('02_Composants_Obso'!$D$2:$D$501,D43,'02_Composants_Obso'!$G$2:$G$501,E43,'02_Composants_Obso'!$M$2:$M$501,"Moyen")&gt;0,"Moyen","Faible"))))</x:f>
      </x:c>
    </x:row>
  </x:sheetData>
  <x:mergeCells>
    <x:mergeCell ref="A1:I1"/>
    <x:mergeCell ref="A10:I11"/>
  </x:mergeCells>
  <x:conditionalFormatting sqref="I4:I43">
    <x:cfRule type="expression" dxfId="16" priority="1">
      <x:formula>I4="Critique"</x:formula>
    </x:cfRule>
    <x:cfRule type="expression" dxfId="17" priority="2">
      <x:formula>I4="Élevé"</x:formula>
    </x:cfRule>
    <x:cfRule type="expression" dxfId="18" priority="3">
      <x:formula>I4="Moyen"</x:formula>
    </x:cfRule>
    <x:cfRule type="expression" dxfId="19" priority="4">
      <x:formula>I4="Faible"</x:formula>
    </x:cfRule>
  </x:conditionalFormatting>
  <x:pageMargins left="0.7" right="0.7" top="0.75" bottom="0.75" header="0.3" footer="0.3"/>
</x:worksheet>
</file>